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UmeshK\Documents\Coding-To be coded\"/>
    </mc:Choice>
  </mc:AlternateContent>
  <xr:revisionPtr revIDLastSave="0" documentId="8_{4A2A2756-FF29-4E45-BB51-DCCD465DD4B3}" xr6:coauthVersionLast="47" xr6:coauthVersionMax="47" xr10:uidLastSave="{00000000-0000-0000-0000-000000000000}"/>
  <bookViews>
    <workbookView xWindow="-108" yWindow="-108" windowWidth="23256" windowHeight="12576" xr2:uid="{00000000-000D-0000-FFFF-FFFF00000000}"/>
  </bookViews>
  <sheets>
    <sheet name="Modified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6" i="1" l="1"/>
  <c r="P26" i="1"/>
  <c r="AI25" i="1"/>
  <c r="P25" i="1"/>
  <c r="AI24" i="1"/>
  <c r="P24" i="1"/>
  <c r="AI23" i="1"/>
  <c r="P23" i="1"/>
  <c r="AI22" i="1"/>
  <c r="P22" i="1"/>
  <c r="AI21" i="1"/>
  <c r="P21" i="1"/>
  <c r="AI20" i="1"/>
  <c r="P20" i="1"/>
  <c r="AI19" i="1"/>
  <c r="P19" i="1"/>
  <c r="AI18" i="1"/>
  <c r="P18" i="1"/>
  <c r="AI17" i="1"/>
  <c r="P17" i="1"/>
  <c r="AI16" i="1"/>
  <c r="P16" i="1"/>
  <c r="AI15" i="1"/>
  <c r="P15" i="1"/>
  <c r="AI14" i="1"/>
  <c r="P14" i="1"/>
  <c r="AI13" i="1"/>
  <c r="P13" i="1"/>
  <c r="AI12" i="1"/>
  <c r="P12" i="1"/>
  <c r="AI11" i="1"/>
  <c r="P11" i="1"/>
  <c r="AI10" i="1"/>
  <c r="P10" i="1"/>
  <c r="AI9" i="1"/>
  <c r="P9" i="1"/>
  <c r="AI8" i="1"/>
  <c r="P8" i="1"/>
  <c r="AI7" i="1"/>
  <c r="P7" i="1"/>
  <c r="AI6" i="1"/>
  <c r="P6" i="1"/>
  <c r="AI5" i="1"/>
  <c r="P5" i="1"/>
  <c r="AI4" i="1"/>
  <c r="P4" i="1"/>
  <c r="AI3" i="1"/>
  <c r="P3" i="1"/>
  <c r="AI2" i="1"/>
  <c r="P2" i="1"/>
</calcChain>
</file>

<file path=xl/sharedStrings.xml><?xml version="1.0" encoding="utf-8"?>
<sst xmlns="http://schemas.openxmlformats.org/spreadsheetml/2006/main" count="594" uniqueCount="308">
  <si>
    <t>CLAIMS#</t>
  </si>
  <si>
    <t>SERVICE DATE</t>
  </si>
  <si>
    <t>PVDR</t>
  </si>
  <si>
    <t>PATIENT</t>
  </si>
  <si>
    <t>PAYER</t>
  </si>
  <si>
    <t>STATUS</t>
  </si>
  <si>
    <t>CHARGES</t>
  </si>
  <si>
    <t>PMTS/ADJS</t>
  </si>
  <si>
    <t>Adjustment</t>
  </si>
  <si>
    <t>WithHeld</t>
  </si>
  <si>
    <t>Balance</t>
  </si>
  <si>
    <t>Account Number</t>
  </si>
  <si>
    <t>Provider Name</t>
  </si>
  <si>
    <t>Guarantor Name</t>
  </si>
  <si>
    <t>1774461</t>
  </si>
  <si>
    <t>08/23/2024</t>
  </si>
  <si>
    <t>RSF</t>
  </si>
  <si>
    <t>LOVE, RONNIE, J</t>
  </si>
  <si>
    <t>HUMANA CHOICE PPO - MEDICARE ADVANTAGE</t>
  </si>
  <si>
    <t>Coding Review</t>
  </si>
  <si>
    <t>378.00</t>
  </si>
  <si>
    <t>77.00</t>
  </si>
  <si>
    <t>22.00</t>
  </si>
  <si>
    <t>0.00</t>
  </si>
  <si>
    <t>301.00</t>
  </si>
  <si>
    <t>642315</t>
  </si>
  <si>
    <t>Ayers, Raven S</t>
  </si>
  <si>
    <t>LOVE, RONNIE J</t>
  </si>
  <si>
    <t>1785311</t>
  </si>
  <si>
    <t>09/10/2024</t>
  </si>
  <si>
    <t>SAD</t>
  </si>
  <si>
    <t>LEWIS, TIFFANY, L</t>
  </si>
  <si>
    <t>MEDI-SHARE</t>
  </si>
  <si>
    <t>445.00</t>
  </si>
  <si>
    <t>800010</t>
  </si>
  <si>
    <t>Donnelly, Sherry A</t>
  </si>
  <si>
    <t>LEWIS, TIFFANY L</t>
  </si>
  <si>
    <t>1821501</t>
  </si>
  <si>
    <t>11/08/2024</t>
  </si>
  <si>
    <t>JHM</t>
  </si>
  <si>
    <t>Johnson, Mercy</t>
  </si>
  <si>
    <t>MOLINA MEDICAID</t>
  </si>
  <si>
    <t>395.00</t>
  </si>
  <si>
    <t>811611</t>
  </si>
  <si>
    <t>Mitchell, James Heath</t>
  </si>
  <si>
    <t>STEPHENS, BRITTANY</t>
  </si>
  <si>
    <t>1879838</t>
  </si>
  <si>
    <t>12/05/2024</t>
  </si>
  <si>
    <t>KD</t>
  </si>
  <si>
    <t>Young, Peyton</t>
  </si>
  <si>
    <t>HealthChoice</t>
  </si>
  <si>
    <t>732.00</t>
  </si>
  <si>
    <t>627.18</t>
  </si>
  <si>
    <t>377.18</t>
  </si>
  <si>
    <t>104.82</t>
  </si>
  <si>
    <t>816261</t>
  </si>
  <si>
    <t>Diomande, Kossa</t>
  </si>
  <si>
    <t>1853298</t>
  </si>
  <si>
    <t>12/28/2024</t>
  </si>
  <si>
    <t>HLC</t>
  </si>
  <si>
    <t>MODZELEWSKI, DONNA, L</t>
  </si>
  <si>
    <t>312.00</t>
  </si>
  <si>
    <t>215.00</t>
  </si>
  <si>
    <t>140.27</t>
  </si>
  <si>
    <t>97.00</t>
  </si>
  <si>
    <t>224606</t>
  </si>
  <si>
    <t>Coyle, Hanna L</t>
  </si>
  <si>
    <t>MODZELEWSKI, DONNA L</t>
  </si>
  <si>
    <t>1866675</t>
  </si>
  <si>
    <t>01/22/2025</t>
  </si>
  <si>
    <t>BMW</t>
  </si>
  <si>
    <t>Raynal, Sofia</t>
  </si>
  <si>
    <t>AETNA BETTER HEALTH OF OKLAHOMA</t>
  </si>
  <si>
    <t>471.00</t>
  </si>
  <si>
    <t>430.00</t>
  </si>
  <si>
    <t>292.75</t>
  </si>
  <si>
    <t>41.00</t>
  </si>
  <si>
    <t>648647</t>
  </si>
  <si>
    <t>Wesselhoft, Breanna M</t>
  </si>
  <si>
    <t>Houck, Hannah</t>
  </si>
  <si>
    <t>1874520</t>
  </si>
  <si>
    <t>02/01/2025</t>
  </si>
  <si>
    <t>BNH</t>
  </si>
  <si>
    <t>Rojas, Emiliano</t>
  </si>
  <si>
    <t>SUPERIOR HEALTH PLAN</t>
  </si>
  <si>
    <t>629.00</t>
  </si>
  <si>
    <t>375.00</t>
  </si>
  <si>
    <t>307.17</t>
  </si>
  <si>
    <t>254.00</t>
  </si>
  <si>
    <t>827723</t>
  </si>
  <si>
    <t>Johnson, Breann N</t>
  </si>
  <si>
    <t>ROJAS, APOLINAR LOPEZ</t>
  </si>
  <si>
    <t>1881710</t>
  </si>
  <si>
    <t>02/05/2025</t>
  </si>
  <si>
    <t>SBD</t>
  </si>
  <si>
    <t>Scott, Jaeda, R</t>
  </si>
  <si>
    <t>609.00</t>
  </si>
  <si>
    <t>214.00</t>
  </si>
  <si>
    <t>828862</t>
  </si>
  <si>
    <t>Dailey, Sarah B</t>
  </si>
  <si>
    <t>clark, kelsey r</t>
  </si>
  <si>
    <t>1881773</t>
  </si>
  <si>
    <t>02/07/2025</t>
  </si>
  <si>
    <t>CANO, SANTIAGO</t>
  </si>
  <si>
    <t>670.00</t>
  </si>
  <si>
    <t>415.00</t>
  </si>
  <si>
    <t>316.17</t>
  </si>
  <si>
    <t>255.00</t>
  </si>
  <si>
    <t>829253</t>
  </si>
  <si>
    <t>Gomez, Yasmin</t>
  </si>
  <si>
    <t>1880670</t>
  </si>
  <si>
    <t>02/10/2025</t>
  </si>
  <si>
    <t>MKD</t>
  </si>
  <si>
    <t>Cruise, John</t>
  </si>
  <si>
    <t>HEALTHCHOICE OKLAHOMA</t>
  </si>
  <si>
    <t>562.00</t>
  </si>
  <si>
    <t>442.85</t>
  </si>
  <si>
    <t>297.07</t>
  </si>
  <si>
    <t>119.15</t>
  </si>
  <si>
    <t>829888</t>
  </si>
  <si>
    <t>Darwent, Madison K</t>
  </si>
  <si>
    <t>1880466</t>
  </si>
  <si>
    <t>Tambascia-Humphrey, Antonia, J</t>
  </si>
  <si>
    <t>749006</t>
  </si>
  <si>
    <t>Tambascia-Humphrey, Antonia J</t>
  </si>
  <si>
    <t>1881807</t>
  </si>
  <si>
    <t>JCC</t>
  </si>
  <si>
    <t>Porter, Dakotah, T</t>
  </si>
  <si>
    <t>LOUISIANA HEALTHCARE CONNECTIONS</t>
  </si>
  <si>
    <t>307.00</t>
  </si>
  <si>
    <t>273.00</t>
  </si>
  <si>
    <t>222.30</t>
  </si>
  <si>
    <t>34.00</t>
  </si>
  <si>
    <t>829903</t>
  </si>
  <si>
    <t>Culbertson, John C.</t>
  </si>
  <si>
    <t>Porter, Dakotah T</t>
  </si>
  <si>
    <t>1882103</t>
  </si>
  <si>
    <t>02/12/2025</t>
  </si>
  <si>
    <t>Martinez, Henley</t>
  </si>
  <si>
    <t>650.00</t>
  </si>
  <si>
    <t>311.56</t>
  </si>
  <si>
    <t>830250</t>
  </si>
  <si>
    <t>MURPHY, KELSEY</t>
  </si>
  <si>
    <t>1884213</t>
  </si>
  <si>
    <t>SR</t>
  </si>
  <si>
    <t>Patterson, Mia, B</t>
  </si>
  <si>
    <t>540.00</t>
  </si>
  <si>
    <t>499.00</t>
  </si>
  <si>
    <t>378.57</t>
  </si>
  <si>
    <t>813846</t>
  </si>
  <si>
    <t>Reynolds, Spencer</t>
  </si>
  <si>
    <t>Paterson, Shaquitta</t>
  </si>
  <si>
    <t>1883808</t>
  </si>
  <si>
    <t>02/15/2025</t>
  </si>
  <si>
    <t>CLG</t>
  </si>
  <si>
    <t>LARSON, HUGH, M</t>
  </si>
  <si>
    <t>Arkansas Medicare</t>
  </si>
  <si>
    <t>834.00</t>
  </si>
  <si>
    <t>489.05</t>
  </si>
  <si>
    <t>344.95</t>
  </si>
  <si>
    <t>476197</t>
  </si>
  <si>
    <t>Gallegos, Christy L</t>
  </si>
  <si>
    <t>LARSON, HUGH M</t>
  </si>
  <si>
    <t>1883887</t>
  </si>
  <si>
    <t>Battiest, Kriss, L</t>
  </si>
  <si>
    <t>BLUE CROSS BLUE SHIELD AR</t>
  </si>
  <si>
    <t>326.00</t>
  </si>
  <si>
    <t>830518</t>
  </si>
  <si>
    <t>Battiest, Kriss L</t>
  </si>
  <si>
    <t>1883927</t>
  </si>
  <si>
    <t>Hunter, Zavier</t>
  </si>
  <si>
    <t>320.56</t>
  </si>
  <si>
    <t>830827</t>
  </si>
  <si>
    <t>ROACH, KIMBERLY</t>
  </si>
  <si>
    <t>1886541</t>
  </si>
  <si>
    <t>02/20/2025</t>
  </si>
  <si>
    <t>TATTA, PETER, D</t>
  </si>
  <si>
    <t>383.00</t>
  </si>
  <si>
    <t>176.76</t>
  </si>
  <si>
    <t>206.24</t>
  </si>
  <si>
    <t>368053</t>
  </si>
  <si>
    <t>TATTA, PETER D</t>
  </si>
  <si>
    <t>1889782</t>
  </si>
  <si>
    <t>BEH</t>
  </si>
  <si>
    <t>Viteri, Xavier</t>
  </si>
  <si>
    <t>UNITED HEALTHCARE</t>
  </si>
  <si>
    <t>363.00</t>
  </si>
  <si>
    <t>10.00</t>
  </si>
  <si>
    <t>353.00</t>
  </si>
  <si>
    <t>648368</t>
  </si>
  <si>
    <t>Hunter, Brandy E</t>
  </si>
  <si>
    <t>1887640</t>
  </si>
  <si>
    <t>02/22/2025</t>
  </si>
  <si>
    <t>JBB</t>
  </si>
  <si>
    <t>Henry, Brenda</t>
  </si>
  <si>
    <t>473.00</t>
  </si>
  <si>
    <t>831908</t>
  </si>
  <si>
    <t>Browning, Jerry B</t>
  </si>
  <si>
    <t>1889563</t>
  </si>
  <si>
    <t>02/25/2025</t>
  </si>
  <si>
    <t>KLR</t>
  </si>
  <si>
    <t>COMPTON, CHERYL, A</t>
  </si>
  <si>
    <t>HUMANA GOLD PLUS HMO</t>
  </si>
  <si>
    <t>579.00</t>
  </si>
  <si>
    <t>35.00</t>
  </si>
  <si>
    <t>544.00</t>
  </si>
  <si>
    <t>65726</t>
  </si>
  <si>
    <t>Rolon, Katherine L</t>
  </si>
  <si>
    <t>COMPTON, CHERYL A</t>
  </si>
  <si>
    <t>1889714</t>
  </si>
  <si>
    <t>02/26/2025</t>
  </si>
  <si>
    <t>Smith, Cedar</t>
  </si>
  <si>
    <t>HUMANA HEALTHY HORIZONS IN OKLAHOMA</t>
  </si>
  <si>
    <t>783988</t>
  </si>
  <si>
    <t>1889651</t>
  </si>
  <si>
    <t>DC</t>
  </si>
  <si>
    <t>SHERMAN, SHANNON S</t>
  </si>
  <si>
    <t>455.00</t>
  </si>
  <si>
    <t>25.00</t>
  </si>
  <si>
    <t>267043</t>
  </si>
  <si>
    <t>Caltrider, David</t>
  </si>
  <si>
    <t>1889875</t>
  </si>
  <si>
    <t>Boyett, Tanya</t>
  </si>
  <si>
    <t>UHC COMMUNITY PLAN LA MEDICAID</t>
  </si>
  <si>
    <t>503.00</t>
  </si>
  <si>
    <t>796987</t>
  </si>
  <si>
    <t>1889878</t>
  </si>
  <si>
    <t>Hall, Donna, P</t>
  </si>
  <si>
    <t>558.00</t>
  </si>
  <si>
    <t>523.00</t>
  </si>
  <si>
    <t>458682</t>
  </si>
  <si>
    <t>Hall, Donna P</t>
  </si>
  <si>
    <t>App Faciliyty</t>
  </si>
  <si>
    <t>State</t>
  </si>
  <si>
    <t>POS</t>
  </si>
  <si>
    <t>Fee schedule</t>
  </si>
  <si>
    <t>Insurance</t>
  </si>
  <si>
    <t>CPT1</t>
  </si>
  <si>
    <t>CPT2</t>
  </si>
  <si>
    <t>CPT3</t>
  </si>
  <si>
    <t>CPT4</t>
  </si>
  <si>
    <t>CPT5</t>
  </si>
  <si>
    <t>CPT6</t>
  </si>
  <si>
    <t>CPT7</t>
  </si>
  <si>
    <t>CPT8</t>
  </si>
  <si>
    <t>CPT9</t>
  </si>
  <si>
    <t>CPT10</t>
  </si>
  <si>
    <t>CPT11</t>
  </si>
  <si>
    <t>CPT12</t>
  </si>
  <si>
    <t>Region</t>
  </si>
  <si>
    <t>ARBlvd:HealthCARE Express - Arkansas Blvd</t>
  </si>
  <si>
    <t>MEDICARE 2023-2023(2023-01-05-2026-01-02)</t>
  </si>
  <si>
    <t>20</t>
  </si>
  <si>
    <t>99214</t>
  </si>
  <si>
    <t>96372</t>
  </si>
  <si>
    <t>96127</t>
  </si>
  <si>
    <t>J0702</t>
  </si>
  <si>
    <t>Longview:HealthCARE Express - Longview</t>
  </si>
  <si>
    <t>STANDARD 2023(2023-01-05-2026-01-02)</t>
  </si>
  <si>
    <t>96136</t>
  </si>
  <si>
    <t>81003</t>
  </si>
  <si>
    <t>81025</t>
  </si>
  <si>
    <t>TC030</t>
  </si>
  <si>
    <t>MtPleasant:HealthCARE Express - Mount Pleasant</t>
  </si>
  <si>
    <t>TX MEDICAID 2023(2023-11-01-2025-12-31)</t>
  </si>
  <si>
    <t>99204</t>
  </si>
  <si>
    <t>MWC:HealthCARE Express - Midwest City</t>
  </si>
  <si>
    <t>87636</t>
  </si>
  <si>
    <t>Marshall:HealthCARE Express - Marshall</t>
  </si>
  <si>
    <t>99213</t>
  </si>
  <si>
    <t>90715</t>
  </si>
  <si>
    <t>90471</t>
  </si>
  <si>
    <t>OK MEDICAID 2023(2023-01-06-2026-01-02)</t>
  </si>
  <si>
    <t>87426</t>
  </si>
  <si>
    <t>87880</t>
  </si>
  <si>
    <t>87804</t>
  </si>
  <si>
    <t>87807</t>
  </si>
  <si>
    <t>WV:HealthCARE Express - Wake Village</t>
  </si>
  <si>
    <t>Moore:HealthCARE Express - Moore</t>
  </si>
  <si>
    <t>Blanchard:HealthCARE Express - Blanchard</t>
  </si>
  <si>
    <t>99203</t>
  </si>
  <si>
    <t>J1100</t>
  </si>
  <si>
    <t>DeQueen:HealthCARE Express - DeQueen</t>
  </si>
  <si>
    <t>J0696</t>
  </si>
  <si>
    <t>J1010</t>
  </si>
  <si>
    <t>BCBS AR 2023(2023-01-06-2026-01-02)</t>
  </si>
  <si>
    <t>11</t>
  </si>
  <si>
    <t>20552</t>
  </si>
  <si>
    <t>J3301</t>
  </si>
  <si>
    <t>UHC 2023(2023-01-06-2026-01-02)</t>
  </si>
  <si>
    <t>82962</t>
  </si>
  <si>
    <t>36415</t>
  </si>
  <si>
    <t>36416</t>
  </si>
  <si>
    <t>TC065</t>
  </si>
  <si>
    <t>TC160</t>
  </si>
  <si>
    <t>TC035</t>
  </si>
  <si>
    <t>HealthCARE Express - Richmond Road</t>
  </si>
  <si>
    <t>Atlanta:HealthCARE Express - Atlanta</t>
  </si>
  <si>
    <t>HUMANA 2023(2023-01-06-2026-01-02)</t>
  </si>
  <si>
    <t>94640</t>
  </si>
  <si>
    <t>J7613</t>
  </si>
  <si>
    <t>J7644</t>
  </si>
  <si>
    <t>A9150</t>
  </si>
  <si>
    <t>LA MEDICAID 2023(2023-12-01-2026-01-02)</t>
  </si>
  <si>
    <t>71046</t>
  </si>
  <si>
    <t>93000</t>
  </si>
  <si>
    <t>80053</t>
  </si>
  <si>
    <t>83036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</si>
</sst>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tabSelected="1" workbookViewId="0"/>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232</v>
      </c>
      <c r="P1" t="s">
        <v>233</v>
      </c>
      <c r="Q1" t="s">
        <v>234</v>
      </c>
      <c r="R1" t="s">
        <v>235</v>
      </c>
      <c r="S1" t="s">
        <v>236</v>
      </c>
      <c r="T1" t="s">
        <v>237</v>
      </c>
      <c r="U1" t="s">
        <v>238</v>
      </c>
      <c r="V1" t="s">
        <v>239</v>
      </c>
      <c r="W1" t="s">
        <v>240</v>
      </c>
      <c r="X1" t="s">
        <v>241</v>
      </c>
      <c r="Y1" t="s">
        <v>242</v>
      </c>
      <c r="Z1" t="s">
        <v>243</v>
      </c>
      <c r="AA1" t="s">
        <v>244</v>
      </c>
      <c r="AB1" t="s">
        <v>245</v>
      </c>
      <c r="AC1" t="s">
        <v>246</v>
      </c>
      <c r="AD1" t="s">
        <v>247</v>
      </c>
      <c r="AE1" t="s">
        <v>248</v>
      </c>
      <c r="AI1" t="s">
        <v>249</v>
      </c>
    </row>
    <row r="2" spans="1:35" x14ac:dyDescent="0.3">
      <c r="A2" t="s">
        <v>14</v>
      </c>
      <c r="B2" t="s">
        <v>15</v>
      </c>
      <c r="C2" t="s">
        <v>16</v>
      </c>
      <c r="D2" t="s">
        <v>17</v>
      </c>
      <c r="E2" t="s">
        <v>18</v>
      </c>
      <c r="F2" t="s">
        <v>19</v>
      </c>
      <c r="G2" t="s">
        <v>20</v>
      </c>
      <c r="H2" t="s">
        <v>21</v>
      </c>
      <c r="I2" t="s">
        <v>22</v>
      </c>
      <c r="J2" t="s">
        <v>23</v>
      </c>
      <c r="K2" t="s">
        <v>24</v>
      </c>
      <c r="L2" t="s">
        <v>25</v>
      </c>
      <c r="M2" t="s">
        <v>26</v>
      </c>
      <c r="N2" t="s">
        <v>27</v>
      </c>
      <c r="O2" t="s">
        <v>250</v>
      </c>
      <c r="P2" t="e">
        <f t="shared" ref="P2:P26" ca="1" si="0">_xludf.IFS(ISNUMBER(SEARCH("AEIC:", O2)), "Arkansas",ISNUMBER(SEARCH("STM:", O2)), "Texas",ISNUMBER(SEARCH("BILLING:", O2)), "Texas",ISNUMBER(SEARCH("AM:", O2)), "Texas",ISNUMBER(SEARCH("ARBlvd:", O2)), "Arkansas",ISNUMBER(SEARCH("Atlanta:", O2)), "Texas",ISNUMBER(SEARCH("Blanchard:", O2)), "Louisiana",ISNUMBER(SEARCH("Bryant:", O2)), "Arkansas",ISNUMBER(SEARCH("Choctaw:", O2)), "Oklahoma",ISNUMBER(SEARCH("Choc Allgy:", O2)), "Oklahoma",ISNUMBER(SEARCH("DeQueen:", O2)), "Arkansas",ISNUMBER(SEARCH("Edmond:", O2)), "Oklahoma",ISNUMBER(SEARCH("Edmd Aller:", O2)), "Oklahoma",ISNUMBER(SEARCH("Imaging:", O2)), "Texas",ISNUMBER(SEARCH("Longview:", O2)), "Texas",ISNUMBER(SEARCH("Marshall:", O2)), "Texas",ISNUMBER(SEARCH("Mar Allerg:", O2)), "Texas",ISNUMBER(SEARCH("Maumelle:", O2)), "Arkansas",ISNUMBER(SEARCH("MWC:", O2)), "Oklahoma",ISNUMBER(SEARCH("MWC Allgy:", O2)), "Oklahoma",ISNUMBER(SEARCH("Moore:", O2)), "Oklahoma",ISNUMBER(SEARCH("MooreAllgy:", O2)), "Oklahoma",ISNUMBER(SEARCH("MtPleasant:", O2)), "Texas",ISNUMBER(SEARCH("OccOffsite:", O2)), "Texas",ISNUMBER(SEARCH("Pain Mgmt:", O2)), "Texas",ISNUMBER(SEARCH("Paris:", O2)), "Texas",ISNUMBER(SEARCH("PT:", O2)), "Texas",ISNUMBER(SEARCH("RR Allergy:", O2)), "Texas",ISNUMBER(SEARCH("Sherwood:", O2)), "Arkansas",ISNUMBER(SEARCH("WV:", O2)), "Texas",ISNUMBER(SEARCH("Nur-Home:", O2)), "Texas",ISNUMBER(SEARCH("THC:", O2)), "Texas",ISNUMBER(SEARCH("WVTC:", O2)), "Texas",ISNUMBER(SEARCH("TSC:", O2)), "Texas",ISNUMBER(SEARCH("V-AR Blvd:", O2)), "Arkansas",ISNUMBER(SEARCH("V-Maumelle:", O2)), "Arkansas",ISNUMBER(SEARCH("V-Atlanta:", O2)), "Texas",ISNUMBER(SEARCH("VBlanchard:", O2)), "Louisiana",ISNUMBER(SEARCH("V-Bryant:", O2)), "Arkansas",ISNUMBER(SEARCH("V-Choctaw:", O2)), "Oklahoma",ISNUMBER(SEARCH("V-DeQueen:", O2)), "Arkansas",ISNUMBER(SEARCH("V-Longview:", O2)), "Texas",ISNUMBER(SEARCH("V-Marshall:", O2)), "Texas",ISNUMBER(SEARCH("V-MWC:", O2)), "Oklahoma",ISNUMBER(SEARCH("V-Moore:", O2)), "Oklahoma",ISNUMBER(SEARCH("V-MP:", O2)), "Texas",ISNUMBER(SEARCH("V-Edmond:", O2)), "Oklahoma",ISNUMBER(SEARCH("V-Paris:", O2)), "Texas",ISNUMBER(SEARCH("V-RR:", O2)), "Texas",ISNUMBER(SEARCH("V-Sherwood:", O2)), "Arkansas",ISNUMBER(SEARCH("V-WV:", O2)), "Texas",ISNUMBER(SEARCH("HealthCARE Express - Richmond Road", O2)), "Texas",ISNUMBER(SEARCH("HealthCARE Express - Occupational Medicine", O2)), "Texas")</f>
        <v>#NAME?</v>
      </c>
      <c r="Q2" t="s">
        <v>252</v>
      </c>
      <c r="R2" t="s">
        <v>251</v>
      </c>
      <c r="S2" t="s">
        <v>18</v>
      </c>
      <c r="T2" t="s">
        <v>253</v>
      </c>
      <c r="U2" t="s">
        <v>254</v>
      </c>
      <c r="V2" t="s">
        <v>255</v>
      </c>
      <c r="W2" t="s">
        <v>256</v>
      </c>
      <c r="AI2" t="str">
        <f t="shared" ref="AI2:AI26" si="1">IF(ISNUMBER(SEARCH("McCrary, D",M2)),"Age Management",IF(ISNUMBER(SEARCH("Stanley, R",M2)),"Age Management",IF(ISNUMBER(SEARCH("Garner, P",M2)),"Little Rock Region",IF(ISNUMBER(SEARCH("Golden, C",M2)),"Little Rock Region",IF(ISNUMBER(SEARCH("Kordsmeier, E",M2)),"Little Rock Region",IF(ISNUMBER(SEARCH("Martin, S",M2)),"Little Rock Region",IF(ISNUMBER(SEARCH("Terrell III, R",M2)),"Little Rock Region",IF(ISNUMBER(SEARCH("Waheed, I",M2)),"Little Rock Region",IF(ISNUMBER(SEARCH("Whitwell, B",M2)),"Little Rock Region",IF(ISNUMBER(SEARCH("Anderson, R",M2)),"Oklahoma",IF(ISNUMBER(SEARCH("Baker, S",M2)),"Oklahoma",IF(ISNUMBER(SEARCH("Bishop, K",M2)),"Oklahoma",IF(ISNUMBER(SEARCH("Davis, C",M2)),"Oklahoma",IF(ISNUMBER(SEARCH("Harrison, J",M2)),"Oklahoma",IF(ISNUMBER(SEARCH("Orico, L",M2)),"Oklahoma",IF(ISNUMBER(SEARCH("Richardson, M",M2)),"Oklahoma",IF(ISNUMBER(SEARCH("Schmiedel, I",M2)),"Oklahoma",IF(ISNUMBER(SEARCH("Sitton, L",M2)),"Oklahoma",IF(ISNUMBER(SEARCH("Smith, C",M2)),"Oklahoma",IF(ISNUMBER(SEARCH("Wenner, T",M2)),"Oklahoma",IF(ISNUMBER(SEARCH("Wright, M",M2)),"Oklahoma",IF(ISNUMBER(SEARCH("Young, R",M2)),"Oklahoma",IF(ISNUMBER(SEARCH("Ayers, A",M2)),"Texas/La/DQ/Ark Blvd",IF(ISNUMBER(SEARCH("Ayers, R",M2)),"Texas/La/DQ/Ark Blvd",IF(ISNUMBER(SEARCH("Bailey, J",M2)),"Texas/La/DQ/Ark Blvd",IF(ISNUMBER(SEARCH("Bennett, C",M2)),"Texas/La/DQ/Ark Blvd",IF(ISNUMBER(SEARCH("Bevill, T",M2)),"Texas/La/DQ/Ark Blvd",IF(ISNUMBER(SEARCH("Bowen, A",M2)),"Texas/La/DQ/Ark Blvd",IF(ISNUMBER(SEARCH("Brandon, M",M2)),"Texas/La/DQ/Ark Blvd",IF(ISNUMBER(SEARCH("Browning, J",M2)),"Texas/La/DQ/Ark Blvd",IF(ISNUMBER(SEARCH("Butts, P",M2)),"Texas/La/DQ/Ark Blvd",IF(ISNUMBER(SEARCH("Caltrider, D",M2)),"Texas/La/DQ/Ark Blvd",IF(ISNUMBER(SEARCH("Colbert, S",M2)),"Texas/La/DQ/Ark Blvd",IF(ISNUMBER(SEARCH("Coyle, H",M2)),"Texas/La/DQ/Ark Blvd",IF(ISNUMBER(SEARCH("Crouthamel, M",M2)),"Texas/La/DQ/Ark Blvd",IF(ISNUMBER(SEARCH("Culbertson, J",M2)),"Texas/La/DQ/Ark Blvd",IF(ISNUMBER(SEARCH("Dailey, S",M2)),"Texas/La/DQ/Ark Blvd",IF(ISNUMBER(SEARCH("Donnelly, S",M2)),"Texas/La/DQ/Ark Blvd",IF(ISNUMBER(SEARCH("Foltz, S",M2)),"Texas/La/DQ/Ark Blvd",IF(ISNUMBER(SEARCH("Foltz, T",M2)),"Texas/La/DQ/Ark Blvd",IF(ISNUMBER(SEARCH("Gallegos, C",M2)),"Texas/La/DQ/Ark Blvd",IF(ISNUMBER(SEARCH("Green, K",M2)),"Texas/La/DQ/Ark Blvd",IF(ISNUMBER(SEARCH("Griffin, P",M2)),"Texas/La/DQ/Ark Blvd",IF(ISNUMBER(SEARCH("Hawthorne, R",M2)),"Texas/La/DQ/Ark Blvd",IF(ISNUMBER(SEARCH("Hickey, P",M2)),"Texas/La/DQ/Ark Blvd",IF(ISNUMBER(SEARCH("Hunter, B",M2)),"Texas/La/DQ/Ark Blvd",IF(ISNUMBER(SEARCH("Hutson, D",M2)),"Texas/La/DQ/Ark Blvd",IF(ISNUMBER(SEARCH("Johnson, B",M2)),"Texas/La/DQ/Ark Blvd",IF(ISNUMBER(SEARCH("McCann, K",M2)),"Texas/La/DQ/Ark Blvd",IF(ISNUMBER(SEARCH("Meredith, P",M2)),"Texas/La/DQ/Ark Blvd",IF(ISNUMBER(SEARCH("Mitchell, J",M2)),"Texas/La/DQ/Ark Blvd",IF(ISNUMBER(SEARCH("Pounds, T",M2)),"Texas/La/DQ/Ark Blvd",IF(ISNUMBER(SEARCH("Redden, K",M2)),"Texas/La/DQ/Ark Blvd",IF(ISNUMBER(SEARCH("Redden, M",M2)),"Texas/La/DQ/Ark Blvd",IF(ISNUMBER(SEARCH("Reynolds, S",M2)),"Texas/La/DQ/Ark Blvd",IF(ISNUMBER(SEARCH("Rolon, K",M2)),"Texas/La/DQ/Ark Blvd",IF(ISNUMBER(SEARCH("Rowe, J",M2)),"Texas/La/DQ/Ark Blvd",IF(ISNUMBER(SEARCH("Russette, R",M2)),"Texas/La/DQ/Ark Blvd",IF(ISNUMBER(SEARCH("West, S",M2)),"Texas/La/DQ/Ark Blvd",IF(ISNUMBER(SEARCH("Burch, J",M2)),"Workers Comp",IF(ISNUMBER(SEARCH("Traylor, T",M2)),"Workers Comp",IF(ISNUMBER(SEARCH("Walls, G",M2)),"Workers Comp","-"))))))))))))))))))))))))))))))))))))))))))))))))))))))))))))))</f>
        <v>Texas/La/DQ/Ark Blvd</v>
      </c>
    </row>
    <row r="3" spans="1:35" x14ac:dyDescent="0.3">
      <c r="A3" t="s">
        <v>28</v>
      </c>
      <c r="B3" t="s">
        <v>29</v>
      </c>
      <c r="C3" t="s">
        <v>30</v>
      </c>
      <c r="D3" t="s">
        <v>31</v>
      </c>
      <c r="E3" t="s">
        <v>32</v>
      </c>
      <c r="F3" t="s">
        <v>19</v>
      </c>
      <c r="G3" t="s">
        <v>33</v>
      </c>
      <c r="H3" t="s">
        <v>23</v>
      </c>
      <c r="I3" t="s">
        <v>23</v>
      </c>
      <c r="J3" t="s">
        <v>23</v>
      </c>
      <c r="K3" t="s">
        <v>33</v>
      </c>
      <c r="L3" t="s">
        <v>34</v>
      </c>
      <c r="M3" t="s">
        <v>35</v>
      </c>
      <c r="N3" t="s">
        <v>36</v>
      </c>
      <c r="O3" t="s">
        <v>257</v>
      </c>
      <c r="P3" t="e">
        <f t="shared" ca="1" si="0"/>
        <v>#NAME?</v>
      </c>
      <c r="Q3" t="s">
        <v>252</v>
      </c>
      <c r="R3" t="s">
        <v>258</v>
      </c>
      <c r="S3" t="s">
        <v>32</v>
      </c>
      <c r="T3" t="s">
        <v>253</v>
      </c>
      <c r="U3" t="s">
        <v>259</v>
      </c>
      <c r="V3" t="s">
        <v>260</v>
      </c>
      <c r="W3" t="s">
        <v>261</v>
      </c>
      <c r="X3" t="s">
        <v>262</v>
      </c>
      <c r="AI3" t="str">
        <f t="shared" si="1"/>
        <v>Texas/La/DQ/Ark Blvd</v>
      </c>
    </row>
    <row r="4" spans="1:35" x14ac:dyDescent="0.3">
      <c r="A4" t="s">
        <v>37</v>
      </c>
      <c r="B4" t="s">
        <v>38</v>
      </c>
      <c r="C4" t="s">
        <v>39</v>
      </c>
      <c r="D4" t="s">
        <v>40</v>
      </c>
      <c r="E4" t="s">
        <v>41</v>
      </c>
      <c r="F4" t="s">
        <v>19</v>
      </c>
      <c r="G4" t="s">
        <v>42</v>
      </c>
      <c r="H4" t="s">
        <v>23</v>
      </c>
      <c r="I4" t="s">
        <v>23</v>
      </c>
      <c r="J4" t="s">
        <v>23</v>
      </c>
      <c r="K4" t="s">
        <v>42</v>
      </c>
      <c r="L4" t="s">
        <v>43</v>
      </c>
      <c r="M4" t="s">
        <v>44</v>
      </c>
      <c r="N4" t="s">
        <v>45</v>
      </c>
      <c r="O4" t="s">
        <v>263</v>
      </c>
      <c r="P4" t="e">
        <f t="shared" ca="1" si="0"/>
        <v>#NAME?</v>
      </c>
      <c r="Q4" t="s">
        <v>252</v>
      </c>
      <c r="R4" t="s">
        <v>264</v>
      </c>
      <c r="S4" t="s">
        <v>41</v>
      </c>
      <c r="T4" t="s">
        <v>265</v>
      </c>
      <c r="AI4" t="str">
        <f t="shared" si="1"/>
        <v>Texas/La/DQ/Ark Blvd</v>
      </c>
    </row>
    <row r="5" spans="1:35" x14ac:dyDescent="0.3">
      <c r="A5" t="s">
        <v>46</v>
      </c>
      <c r="B5" t="s">
        <v>47</v>
      </c>
      <c r="C5" t="s">
        <v>48</v>
      </c>
      <c r="D5" t="s">
        <v>49</v>
      </c>
      <c r="E5" t="s">
        <v>50</v>
      </c>
      <c r="F5" t="s">
        <v>19</v>
      </c>
      <c r="G5" t="s">
        <v>51</v>
      </c>
      <c r="H5" t="s">
        <v>52</v>
      </c>
      <c r="I5" t="s">
        <v>53</v>
      </c>
      <c r="J5" t="s">
        <v>23</v>
      </c>
      <c r="K5" t="s">
        <v>54</v>
      </c>
      <c r="L5" t="s">
        <v>55</v>
      </c>
      <c r="M5" t="s">
        <v>56</v>
      </c>
      <c r="N5" t="s">
        <v>49</v>
      </c>
      <c r="O5" t="s">
        <v>266</v>
      </c>
      <c r="P5" t="e">
        <f t="shared" ca="1" si="0"/>
        <v>#NAME?</v>
      </c>
      <c r="Q5" t="s">
        <v>252</v>
      </c>
      <c r="R5" t="s">
        <v>258</v>
      </c>
      <c r="S5" t="s">
        <v>50</v>
      </c>
      <c r="T5" t="s">
        <v>265</v>
      </c>
      <c r="U5" t="s">
        <v>267</v>
      </c>
      <c r="V5" t="s">
        <v>259</v>
      </c>
      <c r="W5" t="s">
        <v>255</v>
      </c>
      <c r="AI5" t="str">
        <f t="shared" si="1"/>
        <v>-</v>
      </c>
    </row>
    <row r="6" spans="1:35" x14ac:dyDescent="0.3">
      <c r="A6" t="s">
        <v>57</v>
      </c>
      <c r="B6" t="s">
        <v>58</v>
      </c>
      <c r="C6" t="s">
        <v>59</v>
      </c>
      <c r="D6" t="s">
        <v>60</v>
      </c>
      <c r="E6" t="s">
        <v>18</v>
      </c>
      <c r="F6" t="s">
        <v>19</v>
      </c>
      <c r="G6" t="s">
        <v>61</v>
      </c>
      <c r="H6" t="s">
        <v>62</v>
      </c>
      <c r="I6" t="s">
        <v>63</v>
      </c>
      <c r="J6" t="s">
        <v>23</v>
      </c>
      <c r="K6" t="s">
        <v>64</v>
      </c>
      <c r="L6" t="s">
        <v>65</v>
      </c>
      <c r="M6" t="s">
        <v>66</v>
      </c>
      <c r="N6" t="s">
        <v>67</v>
      </c>
      <c r="O6" t="s">
        <v>268</v>
      </c>
      <c r="P6" t="e">
        <f t="shared" ca="1" si="0"/>
        <v>#NAME?</v>
      </c>
      <c r="Q6" t="s">
        <v>252</v>
      </c>
      <c r="R6" t="s">
        <v>251</v>
      </c>
      <c r="S6" t="s">
        <v>18</v>
      </c>
      <c r="T6" t="s">
        <v>269</v>
      </c>
      <c r="U6" t="s">
        <v>270</v>
      </c>
      <c r="V6" t="s">
        <v>271</v>
      </c>
      <c r="W6" t="s">
        <v>255</v>
      </c>
      <c r="AI6" t="str">
        <f t="shared" si="1"/>
        <v>Texas/La/DQ/Ark Blvd</v>
      </c>
    </row>
    <row r="7" spans="1:35" x14ac:dyDescent="0.3">
      <c r="A7" t="s">
        <v>68</v>
      </c>
      <c r="B7" t="s">
        <v>69</v>
      </c>
      <c r="C7" t="s">
        <v>70</v>
      </c>
      <c r="D7" t="s">
        <v>71</v>
      </c>
      <c r="E7" t="s">
        <v>72</v>
      </c>
      <c r="F7" t="s">
        <v>19</v>
      </c>
      <c r="G7" t="s">
        <v>73</v>
      </c>
      <c r="H7" t="s">
        <v>74</v>
      </c>
      <c r="I7" t="s">
        <v>75</v>
      </c>
      <c r="J7" t="s">
        <v>23</v>
      </c>
      <c r="K7" t="s">
        <v>76</v>
      </c>
      <c r="L7" t="s">
        <v>77</v>
      </c>
      <c r="M7" t="s">
        <v>78</v>
      </c>
      <c r="N7" t="s">
        <v>79</v>
      </c>
      <c r="O7" t="s">
        <v>266</v>
      </c>
      <c r="P7" t="e">
        <f t="shared" ca="1" si="0"/>
        <v>#NAME?</v>
      </c>
      <c r="Q7" t="s">
        <v>252</v>
      </c>
      <c r="R7" t="s">
        <v>272</v>
      </c>
      <c r="S7" t="s">
        <v>72</v>
      </c>
      <c r="T7" t="s">
        <v>269</v>
      </c>
      <c r="U7" t="s">
        <v>273</v>
      </c>
      <c r="V7" t="s">
        <v>274</v>
      </c>
      <c r="W7" t="s">
        <v>275</v>
      </c>
      <c r="X7" t="s">
        <v>275</v>
      </c>
      <c r="Y7" t="s">
        <v>276</v>
      </c>
      <c r="AI7" t="str">
        <f t="shared" si="1"/>
        <v>-</v>
      </c>
    </row>
    <row r="8" spans="1:35" x14ac:dyDescent="0.3">
      <c r="A8" t="s">
        <v>80</v>
      </c>
      <c r="B8" t="s">
        <v>81</v>
      </c>
      <c r="C8" t="s">
        <v>82</v>
      </c>
      <c r="D8" t="s">
        <v>83</v>
      </c>
      <c r="E8" t="s">
        <v>84</v>
      </c>
      <c r="F8" t="s">
        <v>19</v>
      </c>
      <c r="G8" t="s">
        <v>85</v>
      </c>
      <c r="H8" t="s">
        <v>86</v>
      </c>
      <c r="I8" t="s">
        <v>87</v>
      </c>
      <c r="J8" t="s">
        <v>23</v>
      </c>
      <c r="K8" t="s">
        <v>88</v>
      </c>
      <c r="L8" t="s">
        <v>89</v>
      </c>
      <c r="M8" t="s">
        <v>90</v>
      </c>
      <c r="N8" t="s">
        <v>91</v>
      </c>
      <c r="O8" t="s">
        <v>277</v>
      </c>
      <c r="P8" t="e">
        <f t="shared" ca="1" si="0"/>
        <v>#NAME?</v>
      </c>
      <c r="Q8" t="s">
        <v>252</v>
      </c>
      <c r="R8" t="s">
        <v>258</v>
      </c>
      <c r="S8" t="s">
        <v>84</v>
      </c>
      <c r="T8" t="s">
        <v>265</v>
      </c>
      <c r="U8" t="s">
        <v>267</v>
      </c>
      <c r="V8" t="s">
        <v>276</v>
      </c>
      <c r="AI8" t="str">
        <f t="shared" si="1"/>
        <v>Texas/La/DQ/Ark Blvd</v>
      </c>
    </row>
    <row r="9" spans="1:35" x14ac:dyDescent="0.3">
      <c r="A9" t="s">
        <v>92</v>
      </c>
      <c r="B9" t="s">
        <v>93</v>
      </c>
      <c r="C9" t="s">
        <v>94</v>
      </c>
      <c r="D9" t="s">
        <v>95</v>
      </c>
      <c r="E9" t="s">
        <v>84</v>
      </c>
      <c r="F9" t="s">
        <v>19</v>
      </c>
      <c r="G9" t="s">
        <v>96</v>
      </c>
      <c r="H9" t="s">
        <v>42</v>
      </c>
      <c r="I9" t="s">
        <v>87</v>
      </c>
      <c r="J9" t="s">
        <v>23</v>
      </c>
      <c r="K9" t="s">
        <v>97</v>
      </c>
      <c r="L9" t="s">
        <v>98</v>
      </c>
      <c r="M9" t="s">
        <v>99</v>
      </c>
      <c r="N9" t="s">
        <v>100</v>
      </c>
      <c r="O9" t="s">
        <v>263</v>
      </c>
      <c r="P9" t="e">
        <f t="shared" ca="1" si="0"/>
        <v>#NAME?</v>
      </c>
      <c r="Q9" t="s">
        <v>252</v>
      </c>
      <c r="R9" t="s">
        <v>258</v>
      </c>
      <c r="S9" t="s">
        <v>84</v>
      </c>
      <c r="T9" t="s">
        <v>265</v>
      </c>
      <c r="U9" t="s">
        <v>267</v>
      </c>
      <c r="AI9" t="str">
        <f t="shared" si="1"/>
        <v>Texas/La/DQ/Ark Blvd</v>
      </c>
    </row>
    <row r="10" spans="1:35" x14ac:dyDescent="0.3">
      <c r="A10" t="s">
        <v>101</v>
      </c>
      <c r="B10" t="s">
        <v>102</v>
      </c>
      <c r="C10" t="s">
        <v>94</v>
      </c>
      <c r="D10" t="s">
        <v>103</v>
      </c>
      <c r="E10" t="s">
        <v>84</v>
      </c>
      <c r="F10" t="s">
        <v>19</v>
      </c>
      <c r="G10" t="s">
        <v>104</v>
      </c>
      <c r="H10" t="s">
        <v>105</v>
      </c>
      <c r="I10" t="s">
        <v>106</v>
      </c>
      <c r="J10" t="s">
        <v>23</v>
      </c>
      <c r="K10" t="s">
        <v>107</v>
      </c>
      <c r="L10" t="s">
        <v>108</v>
      </c>
      <c r="M10" t="s">
        <v>99</v>
      </c>
      <c r="N10" t="s">
        <v>109</v>
      </c>
      <c r="O10" t="s">
        <v>263</v>
      </c>
      <c r="P10" t="e">
        <f t="shared" ca="1" si="0"/>
        <v>#NAME?</v>
      </c>
      <c r="Q10" t="s">
        <v>252</v>
      </c>
      <c r="R10" t="s">
        <v>258</v>
      </c>
      <c r="S10" t="s">
        <v>84</v>
      </c>
      <c r="T10" t="s">
        <v>265</v>
      </c>
      <c r="U10" t="s">
        <v>267</v>
      </c>
      <c r="V10" t="s">
        <v>274</v>
      </c>
      <c r="W10" t="s">
        <v>276</v>
      </c>
      <c r="AI10" t="str">
        <f t="shared" si="1"/>
        <v>Texas/La/DQ/Ark Blvd</v>
      </c>
    </row>
    <row r="11" spans="1:35" x14ac:dyDescent="0.3">
      <c r="A11" t="s">
        <v>110</v>
      </c>
      <c r="B11" t="s">
        <v>111</v>
      </c>
      <c r="C11" t="s">
        <v>112</v>
      </c>
      <c r="D11" t="s">
        <v>113</v>
      </c>
      <c r="E11" t="s">
        <v>114</v>
      </c>
      <c r="F11" t="s">
        <v>19</v>
      </c>
      <c r="G11" t="s">
        <v>115</v>
      </c>
      <c r="H11" t="s">
        <v>116</v>
      </c>
      <c r="I11" t="s">
        <v>117</v>
      </c>
      <c r="J11" t="s">
        <v>23</v>
      </c>
      <c r="K11" t="s">
        <v>118</v>
      </c>
      <c r="L11" t="s">
        <v>119</v>
      </c>
      <c r="M11" t="s">
        <v>120</v>
      </c>
      <c r="N11" t="s">
        <v>113</v>
      </c>
      <c r="O11" t="s">
        <v>278</v>
      </c>
      <c r="P11" t="e">
        <f t="shared" ca="1" si="0"/>
        <v>#NAME?</v>
      </c>
      <c r="Q11" t="s">
        <v>252</v>
      </c>
      <c r="R11" t="s">
        <v>258</v>
      </c>
      <c r="S11" t="s">
        <v>114</v>
      </c>
      <c r="T11" t="s">
        <v>253</v>
      </c>
      <c r="U11" t="s">
        <v>273</v>
      </c>
      <c r="V11" t="s">
        <v>274</v>
      </c>
      <c r="W11" t="s">
        <v>275</v>
      </c>
      <c r="X11" t="s">
        <v>275</v>
      </c>
      <c r="Y11" t="s">
        <v>255</v>
      </c>
      <c r="AI11" t="str">
        <f t="shared" si="1"/>
        <v>-</v>
      </c>
    </row>
    <row r="12" spans="1:35" x14ac:dyDescent="0.3">
      <c r="A12" t="s">
        <v>121</v>
      </c>
      <c r="B12" t="s">
        <v>111</v>
      </c>
      <c r="C12" t="s">
        <v>70</v>
      </c>
      <c r="D12" t="s">
        <v>122</v>
      </c>
      <c r="E12" t="s">
        <v>50</v>
      </c>
      <c r="F12" t="s">
        <v>19</v>
      </c>
      <c r="G12" t="s">
        <v>115</v>
      </c>
      <c r="H12" t="s">
        <v>23</v>
      </c>
      <c r="I12" t="s">
        <v>23</v>
      </c>
      <c r="J12" t="s">
        <v>23</v>
      </c>
      <c r="K12" t="s">
        <v>115</v>
      </c>
      <c r="L12" t="s">
        <v>123</v>
      </c>
      <c r="M12" t="s">
        <v>78</v>
      </c>
      <c r="N12" t="s">
        <v>124</v>
      </c>
      <c r="O12" t="s">
        <v>266</v>
      </c>
      <c r="P12" t="e">
        <f t="shared" ca="1" si="0"/>
        <v>#NAME?</v>
      </c>
      <c r="Q12" t="s">
        <v>252</v>
      </c>
      <c r="R12" t="s">
        <v>272</v>
      </c>
      <c r="S12" t="s">
        <v>50</v>
      </c>
      <c r="T12" t="s">
        <v>253</v>
      </c>
      <c r="U12" t="s">
        <v>273</v>
      </c>
      <c r="V12" t="s">
        <v>275</v>
      </c>
      <c r="W12" t="s">
        <v>274</v>
      </c>
      <c r="X12" t="s">
        <v>255</v>
      </c>
      <c r="AI12" t="str">
        <f t="shared" si="1"/>
        <v>-</v>
      </c>
    </row>
    <row r="13" spans="1:35" x14ac:dyDescent="0.3">
      <c r="A13" t="s">
        <v>125</v>
      </c>
      <c r="B13" t="s">
        <v>111</v>
      </c>
      <c r="C13" t="s">
        <v>126</v>
      </c>
      <c r="D13" t="s">
        <v>127</v>
      </c>
      <c r="E13" t="s">
        <v>128</v>
      </c>
      <c r="F13" t="s">
        <v>19</v>
      </c>
      <c r="G13" t="s">
        <v>129</v>
      </c>
      <c r="H13" t="s">
        <v>130</v>
      </c>
      <c r="I13" t="s">
        <v>131</v>
      </c>
      <c r="J13" t="s">
        <v>23</v>
      </c>
      <c r="K13" t="s">
        <v>132</v>
      </c>
      <c r="L13" t="s">
        <v>133</v>
      </c>
      <c r="M13" t="s">
        <v>134</v>
      </c>
      <c r="N13" t="s">
        <v>135</v>
      </c>
      <c r="O13" t="s">
        <v>279</v>
      </c>
      <c r="P13" t="e">
        <f t="shared" ca="1" si="0"/>
        <v>#NAME?</v>
      </c>
      <c r="Q13" t="s">
        <v>252</v>
      </c>
      <c r="R13" t="s">
        <v>258</v>
      </c>
      <c r="S13" t="s">
        <v>128</v>
      </c>
      <c r="T13" t="s">
        <v>280</v>
      </c>
      <c r="U13" t="s">
        <v>254</v>
      </c>
      <c r="V13" t="s">
        <v>281</v>
      </c>
      <c r="AI13" t="str">
        <f t="shared" si="1"/>
        <v>Texas/La/DQ/Ark Blvd</v>
      </c>
    </row>
    <row r="14" spans="1:35" x14ac:dyDescent="0.3">
      <c r="A14" t="s">
        <v>136</v>
      </c>
      <c r="B14" t="s">
        <v>137</v>
      </c>
      <c r="C14" t="s">
        <v>39</v>
      </c>
      <c r="D14" t="s">
        <v>138</v>
      </c>
      <c r="E14" t="s">
        <v>84</v>
      </c>
      <c r="F14" t="s">
        <v>19</v>
      </c>
      <c r="G14" t="s">
        <v>139</v>
      </c>
      <c r="H14" t="s">
        <v>42</v>
      </c>
      <c r="I14" t="s">
        <v>140</v>
      </c>
      <c r="J14" t="s">
        <v>23</v>
      </c>
      <c r="K14" t="s">
        <v>107</v>
      </c>
      <c r="L14" t="s">
        <v>141</v>
      </c>
      <c r="M14" t="s">
        <v>44</v>
      </c>
      <c r="N14" t="s">
        <v>142</v>
      </c>
      <c r="O14" t="s">
        <v>263</v>
      </c>
      <c r="P14" t="e">
        <f t="shared" ca="1" si="0"/>
        <v>#NAME?</v>
      </c>
      <c r="Q14" t="s">
        <v>252</v>
      </c>
      <c r="R14" t="s">
        <v>258</v>
      </c>
      <c r="S14" t="s">
        <v>84</v>
      </c>
      <c r="T14" t="s">
        <v>265</v>
      </c>
      <c r="U14" t="s">
        <v>267</v>
      </c>
      <c r="V14" t="s">
        <v>274</v>
      </c>
      <c r="AI14" t="str">
        <f t="shared" si="1"/>
        <v>Texas/La/DQ/Ark Blvd</v>
      </c>
    </row>
    <row r="15" spans="1:35" x14ac:dyDescent="0.3">
      <c r="A15" t="s">
        <v>143</v>
      </c>
      <c r="B15" t="s">
        <v>137</v>
      </c>
      <c r="C15" t="s">
        <v>144</v>
      </c>
      <c r="D15" t="s">
        <v>145</v>
      </c>
      <c r="E15" t="s">
        <v>128</v>
      </c>
      <c r="F15" t="s">
        <v>19</v>
      </c>
      <c r="G15" t="s">
        <v>146</v>
      </c>
      <c r="H15" t="s">
        <v>147</v>
      </c>
      <c r="I15" t="s">
        <v>148</v>
      </c>
      <c r="J15" t="s">
        <v>23</v>
      </c>
      <c r="K15" t="s">
        <v>76</v>
      </c>
      <c r="L15" t="s">
        <v>149</v>
      </c>
      <c r="M15" t="s">
        <v>150</v>
      </c>
      <c r="N15" t="s">
        <v>151</v>
      </c>
      <c r="O15" t="s">
        <v>279</v>
      </c>
      <c r="P15" t="e">
        <f t="shared" ca="1" si="0"/>
        <v>#NAME?</v>
      </c>
      <c r="Q15" t="s">
        <v>252</v>
      </c>
      <c r="R15" t="s">
        <v>258</v>
      </c>
      <c r="S15" t="s">
        <v>128</v>
      </c>
      <c r="T15" t="s">
        <v>253</v>
      </c>
      <c r="U15" t="s">
        <v>273</v>
      </c>
      <c r="V15" t="s">
        <v>275</v>
      </c>
      <c r="W15" t="s">
        <v>275</v>
      </c>
      <c r="X15" t="s">
        <v>274</v>
      </c>
      <c r="AI15" t="str">
        <f t="shared" si="1"/>
        <v>Texas/La/DQ/Ark Blvd</v>
      </c>
    </row>
    <row r="16" spans="1:35" x14ac:dyDescent="0.3">
      <c r="A16" t="s">
        <v>152</v>
      </c>
      <c r="B16" t="s">
        <v>153</v>
      </c>
      <c r="C16" t="s">
        <v>154</v>
      </c>
      <c r="D16" t="s">
        <v>155</v>
      </c>
      <c r="E16" t="s">
        <v>156</v>
      </c>
      <c r="F16" t="s">
        <v>19</v>
      </c>
      <c r="G16" t="s">
        <v>157</v>
      </c>
      <c r="H16" t="s">
        <v>158</v>
      </c>
      <c r="I16" t="s">
        <v>158</v>
      </c>
      <c r="J16" t="s">
        <v>23</v>
      </c>
      <c r="K16" t="s">
        <v>159</v>
      </c>
      <c r="L16" t="s">
        <v>160</v>
      </c>
      <c r="M16" t="s">
        <v>161</v>
      </c>
      <c r="N16" t="s">
        <v>162</v>
      </c>
      <c r="O16" t="s">
        <v>282</v>
      </c>
      <c r="P16" t="e">
        <f t="shared" ca="1" si="0"/>
        <v>#NAME?</v>
      </c>
      <c r="Q16" t="s">
        <v>252</v>
      </c>
      <c r="R16" t="s">
        <v>251</v>
      </c>
      <c r="S16" t="s">
        <v>156</v>
      </c>
      <c r="T16" t="s">
        <v>253</v>
      </c>
      <c r="U16" t="s">
        <v>267</v>
      </c>
      <c r="V16" t="s">
        <v>283</v>
      </c>
      <c r="W16" t="s">
        <v>284</v>
      </c>
      <c r="X16" t="s">
        <v>254</v>
      </c>
      <c r="Y16" t="s">
        <v>281</v>
      </c>
      <c r="AI16" t="str">
        <f t="shared" si="1"/>
        <v>Texas/La/DQ/Ark Blvd</v>
      </c>
    </row>
    <row r="17" spans="1:35" x14ac:dyDescent="0.3">
      <c r="A17" t="s">
        <v>163</v>
      </c>
      <c r="B17" t="s">
        <v>153</v>
      </c>
      <c r="C17" t="s">
        <v>154</v>
      </c>
      <c r="D17" t="s">
        <v>164</v>
      </c>
      <c r="E17" t="s">
        <v>165</v>
      </c>
      <c r="F17" t="s">
        <v>19</v>
      </c>
      <c r="G17" t="s">
        <v>166</v>
      </c>
      <c r="H17" t="s">
        <v>23</v>
      </c>
      <c r="I17" t="s">
        <v>23</v>
      </c>
      <c r="J17" t="s">
        <v>23</v>
      </c>
      <c r="K17" t="s">
        <v>166</v>
      </c>
      <c r="L17" t="s">
        <v>167</v>
      </c>
      <c r="M17" t="s">
        <v>161</v>
      </c>
      <c r="N17" t="s">
        <v>168</v>
      </c>
      <c r="O17" t="s">
        <v>282</v>
      </c>
      <c r="P17" t="e">
        <f t="shared" ca="1" si="0"/>
        <v>#NAME?</v>
      </c>
      <c r="Q17" t="s">
        <v>286</v>
      </c>
      <c r="R17" t="s">
        <v>285</v>
      </c>
      <c r="S17" t="s">
        <v>165</v>
      </c>
      <c r="T17" t="s">
        <v>253</v>
      </c>
      <c r="U17" t="s">
        <v>255</v>
      </c>
      <c r="AI17" t="str">
        <f t="shared" si="1"/>
        <v>Texas/La/DQ/Ark Blvd</v>
      </c>
    </row>
    <row r="18" spans="1:35" x14ac:dyDescent="0.3">
      <c r="A18" t="s">
        <v>169</v>
      </c>
      <c r="B18" t="s">
        <v>153</v>
      </c>
      <c r="C18" t="s">
        <v>39</v>
      </c>
      <c r="D18" t="s">
        <v>170</v>
      </c>
      <c r="E18" t="s">
        <v>84</v>
      </c>
      <c r="F18" t="s">
        <v>19</v>
      </c>
      <c r="G18" t="s">
        <v>85</v>
      </c>
      <c r="H18" t="s">
        <v>105</v>
      </c>
      <c r="I18" t="s">
        <v>171</v>
      </c>
      <c r="J18" t="s">
        <v>23</v>
      </c>
      <c r="K18" t="s">
        <v>97</v>
      </c>
      <c r="L18" t="s">
        <v>172</v>
      </c>
      <c r="M18" t="s">
        <v>44</v>
      </c>
      <c r="N18" t="s">
        <v>173</v>
      </c>
      <c r="O18" t="s">
        <v>263</v>
      </c>
      <c r="P18" t="e">
        <f t="shared" ca="1" si="0"/>
        <v>#NAME?</v>
      </c>
      <c r="Q18" t="s">
        <v>252</v>
      </c>
      <c r="R18" t="s">
        <v>258</v>
      </c>
      <c r="S18" t="s">
        <v>84</v>
      </c>
      <c r="T18" t="s">
        <v>265</v>
      </c>
      <c r="U18" t="s">
        <v>267</v>
      </c>
      <c r="V18" t="s">
        <v>276</v>
      </c>
      <c r="AI18" t="str">
        <f t="shared" si="1"/>
        <v>Texas/La/DQ/Ark Blvd</v>
      </c>
    </row>
    <row r="19" spans="1:35" x14ac:dyDescent="0.3">
      <c r="A19" t="s">
        <v>174</v>
      </c>
      <c r="B19" t="s">
        <v>175</v>
      </c>
      <c r="C19" t="s">
        <v>154</v>
      </c>
      <c r="D19" t="s">
        <v>176</v>
      </c>
      <c r="E19" t="s">
        <v>156</v>
      </c>
      <c r="F19" t="s">
        <v>19</v>
      </c>
      <c r="G19" t="s">
        <v>177</v>
      </c>
      <c r="H19" t="s">
        <v>178</v>
      </c>
      <c r="I19" t="s">
        <v>178</v>
      </c>
      <c r="J19" t="s">
        <v>23</v>
      </c>
      <c r="K19" t="s">
        <v>179</v>
      </c>
      <c r="L19" t="s">
        <v>180</v>
      </c>
      <c r="M19" t="s">
        <v>161</v>
      </c>
      <c r="N19" t="s">
        <v>181</v>
      </c>
      <c r="O19" t="s">
        <v>282</v>
      </c>
      <c r="P19" t="e">
        <f t="shared" ca="1" si="0"/>
        <v>#NAME?</v>
      </c>
      <c r="Q19" t="s">
        <v>252</v>
      </c>
      <c r="R19" t="s">
        <v>251</v>
      </c>
      <c r="S19" t="s">
        <v>156</v>
      </c>
      <c r="T19" t="s">
        <v>269</v>
      </c>
      <c r="U19" t="s">
        <v>287</v>
      </c>
      <c r="V19" t="s">
        <v>255</v>
      </c>
      <c r="W19" t="s">
        <v>288</v>
      </c>
      <c r="AI19" t="str">
        <f t="shared" si="1"/>
        <v>Texas/La/DQ/Ark Blvd</v>
      </c>
    </row>
    <row r="20" spans="1:35" x14ac:dyDescent="0.3">
      <c r="A20" t="s">
        <v>182</v>
      </c>
      <c r="B20" t="s">
        <v>175</v>
      </c>
      <c r="C20" t="s">
        <v>183</v>
      </c>
      <c r="D20" t="s">
        <v>184</v>
      </c>
      <c r="E20" t="s">
        <v>185</v>
      </c>
      <c r="F20" t="s">
        <v>19</v>
      </c>
      <c r="G20" t="s">
        <v>186</v>
      </c>
      <c r="H20" t="s">
        <v>187</v>
      </c>
      <c r="I20" t="s">
        <v>23</v>
      </c>
      <c r="J20" t="s">
        <v>23</v>
      </c>
      <c r="K20" t="s">
        <v>188</v>
      </c>
      <c r="L20" t="s">
        <v>189</v>
      </c>
      <c r="M20" t="s">
        <v>190</v>
      </c>
      <c r="N20" t="s">
        <v>184</v>
      </c>
      <c r="O20" t="s">
        <v>257</v>
      </c>
      <c r="P20" t="e">
        <f t="shared" ca="1" si="0"/>
        <v>#NAME?</v>
      </c>
      <c r="Q20" t="s">
        <v>286</v>
      </c>
      <c r="R20" t="s">
        <v>289</v>
      </c>
      <c r="S20" t="s">
        <v>185</v>
      </c>
      <c r="T20" t="s">
        <v>253</v>
      </c>
      <c r="U20" t="s">
        <v>255</v>
      </c>
      <c r="V20" t="s">
        <v>290</v>
      </c>
      <c r="W20" t="s">
        <v>291</v>
      </c>
      <c r="X20" t="s">
        <v>292</v>
      </c>
      <c r="Y20" t="s">
        <v>293</v>
      </c>
      <c r="Z20" t="s">
        <v>262</v>
      </c>
      <c r="AA20" t="s">
        <v>294</v>
      </c>
      <c r="AB20" t="s">
        <v>295</v>
      </c>
      <c r="AI20" t="str">
        <f t="shared" si="1"/>
        <v>Texas/La/DQ/Ark Blvd</v>
      </c>
    </row>
    <row r="21" spans="1:35" x14ac:dyDescent="0.3">
      <c r="A21" t="s">
        <v>191</v>
      </c>
      <c r="B21" t="s">
        <v>192</v>
      </c>
      <c r="C21" t="s">
        <v>193</v>
      </c>
      <c r="D21" t="s">
        <v>194</v>
      </c>
      <c r="E21" t="s">
        <v>185</v>
      </c>
      <c r="F21" t="s">
        <v>19</v>
      </c>
      <c r="G21" t="s">
        <v>195</v>
      </c>
      <c r="H21" t="s">
        <v>23</v>
      </c>
      <c r="I21" t="s">
        <v>23</v>
      </c>
      <c r="J21" t="s">
        <v>23</v>
      </c>
      <c r="K21" t="s">
        <v>195</v>
      </c>
      <c r="L21" t="s">
        <v>196</v>
      </c>
      <c r="M21" t="s">
        <v>197</v>
      </c>
      <c r="N21" t="s">
        <v>194</v>
      </c>
      <c r="O21" t="s">
        <v>296</v>
      </c>
      <c r="P21" t="e">
        <f t="shared" ca="1" si="0"/>
        <v>#NAME?</v>
      </c>
      <c r="Q21" t="s">
        <v>286</v>
      </c>
      <c r="R21" t="s">
        <v>289</v>
      </c>
      <c r="S21" t="s">
        <v>185</v>
      </c>
      <c r="T21" t="s">
        <v>265</v>
      </c>
      <c r="U21" t="s">
        <v>260</v>
      </c>
      <c r="V21" t="s">
        <v>255</v>
      </c>
      <c r="W21" t="s">
        <v>290</v>
      </c>
      <c r="X21" t="s">
        <v>292</v>
      </c>
      <c r="Y21" t="s">
        <v>262</v>
      </c>
      <c r="AI21" t="str">
        <f t="shared" si="1"/>
        <v>Texas/La/DQ/Ark Blvd</v>
      </c>
    </row>
    <row r="22" spans="1:35" x14ac:dyDescent="0.3">
      <c r="A22" t="s">
        <v>198</v>
      </c>
      <c r="B22" t="s">
        <v>199</v>
      </c>
      <c r="C22" t="s">
        <v>200</v>
      </c>
      <c r="D22" t="s">
        <v>201</v>
      </c>
      <c r="E22" t="s">
        <v>202</v>
      </c>
      <c r="F22" t="s">
        <v>19</v>
      </c>
      <c r="G22" t="s">
        <v>203</v>
      </c>
      <c r="H22" t="s">
        <v>204</v>
      </c>
      <c r="I22" t="s">
        <v>23</v>
      </c>
      <c r="J22" t="s">
        <v>23</v>
      </c>
      <c r="K22" t="s">
        <v>205</v>
      </c>
      <c r="L22" t="s">
        <v>206</v>
      </c>
      <c r="M22" t="s">
        <v>207</v>
      </c>
      <c r="N22" t="s">
        <v>208</v>
      </c>
      <c r="O22" t="s">
        <v>297</v>
      </c>
      <c r="P22" t="e">
        <f t="shared" ca="1" si="0"/>
        <v>#NAME?</v>
      </c>
      <c r="Q22" t="s">
        <v>252</v>
      </c>
      <c r="R22" t="s">
        <v>251</v>
      </c>
      <c r="S22" t="s">
        <v>202</v>
      </c>
      <c r="T22" t="s">
        <v>253</v>
      </c>
      <c r="U22" t="s">
        <v>267</v>
      </c>
      <c r="V22" t="s">
        <v>274</v>
      </c>
      <c r="W22" t="s">
        <v>276</v>
      </c>
      <c r="X22" t="s">
        <v>255</v>
      </c>
      <c r="AI22" t="str">
        <f t="shared" si="1"/>
        <v>Texas/La/DQ/Ark Blvd</v>
      </c>
    </row>
    <row r="23" spans="1:35" x14ac:dyDescent="0.3">
      <c r="A23" t="s">
        <v>209</v>
      </c>
      <c r="B23" t="s">
        <v>210</v>
      </c>
      <c r="C23" t="s">
        <v>112</v>
      </c>
      <c r="D23" t="s">
        <v>211</v>
      </c>
      <c r="E23" t="s">
        <v>212</v>
      </c>
      <c r="F23" t="s">
        <v>19</v>
      </c>
      <c r="G23" t="s">
        <v>64</v>
      </c>
      <c r="H23" t="s">
        <v>23</v>
      </c>
      <c r="I23" t="s">
        <v>23</v>
      </c>
      <c r="J23" t="s">
        <v>23</v>
      </c>
      <c r="K23" t="s">
        <v>64</v>
      </c>
      <c r="L23" t="s">
        <v>213</v>
      </c>
      <c r="M23" t="s">
        <v>120</v>
      </c>
      <c r="N23" t="s">
        <v>211</v>
      </c>
      <c r="O23" t="s">
        <v>278</v>
      </c>
      <c r="P23" t="e">
        <f t="shared" ca="1" si="0"/>
        <v>#NAME?</v>
      </c>
      <c r="Q23" t="s">
        <v>252</v>
      </c>
      <c r="R23" t="s">
        <v>298</v>
      </c>
      <c r="S23" t="s">
        <v>212</v>
      </c>
      <c r="T23" t="s">
        <v>270</v>
      </c>
      <c r="U23" t="s">
        <v>271</v>
      </c>
      <c r="AI23" t="str">
        <f t="shared" si="1"/>
        <v>-</v>
      </c>
    </row>
    <row r="24" spans="1:35" x14ac:dyDescent="0.3">
      <c r="A24" t="s">
        <v>214</v>
      </c>
      <c r="B24" t="s">
        <v>210</v>
      </c>
      <c r="C24" t="s">
        <v>215</v>
      </c>
      <c r="D24" t="s">
        <v>216</v>
      </c>
      <c r="E24" t="s">
        <v>185</v>
      </c>
      <c r="F24" t="s">
        <v>19</v>
      </c>
      <c r="G24" t="s">
        <v>217</v>
      </c>
      <c r="H24" t="s">
        <v>218</v>
      </c>
      <c r="I24" t="s">
        <v>23</v>
      </c>
      <c r="J24" t="s">
        <v>23</v>
      </c>
      <c r="K24" t="s">
        <v>74</v>
      </c>
      <c r="L24" t="s">
        <v>219</v>
      </c>
      <c r="M24" t="s">
        <v>220</v>
      </c>
      <c r="N24" t="s">
        <v>216</v>
      </c>
      <c r="O24" t="s">
        <v>279</v>
      </c>
      <c r="P24" t="e">
        <f t="shared" ca="1" si="0"/>
        <v>#NAME?</v>
      </c>
      <c r="Q24" t="s">
        <v>286</v>
      </c>
      <c r="R24" t="s">
        <v>289</v>
      </c>
      <c r="S24" t="s">
        <v>185</v>
      </c>
      <c r="T24" t="s">
        <v>253</v>
      </c>
      <c r="U24" t="s">
        <v>274</v>
      </c>
      <c r="V24" t="s">
        <v>275</v>
      </c>
      <c r="W24" t="s">
        <v>275</v>
      </c>
      <c r="X24" t="s">
        <v>299</v>
      </c>
      <c r="Y24" t="s">
        <v>300</v>
      </c>
      <c r="Z24" t="s">
        <v>301</v>
      </c>
      <c r="AA24" t="s">
        <v>302</v>
      </c>
      <c r="AI24" t="str">
        <f t="shared" si="1"/>
        <v>Texas/La/DQ/Ark Blvd</v>
      </c>
    </row>
    <row r="25" spans="1:35" x14ac:dyDescent="0.3">
      <c r="A25" t="s">
        <v>221</v>
      </c>
      <c r="B25" t="s">
        <v>210</v>
      </c>
      <c r="C25" t="s">
        <v>215</v>
      </c>
      <c r="D25" t="s">
        <v>222</v>
      </c>
      <c r="E25" t="s">
        <v>223</v>
      </c>
      <c r="F25" t="s">
        <v>19</v>
      </c>
      <c r="G25" t="s">
        <v>224</v>
      </c>
      <c r="H25" t="s">
        <v>23</v>
      </c>
      <c r="I25" t="s">
        <v>23</v>
      </c>
      <c r="J25" t="s">
        <v>23</v>
      </c>
      <c r="K25" t="s">
        <v>224</v>
      </c>
      <c r="L25" t="s">
        <v>225</v>
      </c>
      <c r="M25" t="s">
        <v>220</v>
      </c>
      <c r="N25" t="s">
        <v>222</v>
      </c>
      <c r="O25" t="s">
        <v>279</v>
      </c>
      <c r="P25" t="e">
        <f t="shared" ca="1" si="0"/>
        <v>#NAME?</v>
      </c>
      <c r="Q25" t="s">
        <v>252</v>
      </c>
      <c r="R25" t="s">
        <v>303</v>
      </c>
      <c r="S25" t="s">
        <v>223</v>
      </c>
      <c r="T25" t="s">
        <v>253</v>
      </c>
      <c r="U25" t="s">
        <v>304</v>
      </c>
      <c r="V25" t="s">
        <v>305</v>
      </c>
      <c r="W25" t="s">
        <v>260</v>
      </c>
      <c r="X25" t="s">
        <v>306</v>
      </c>
      <c r="Y25" t="s">
        <v>307</v>
      </c>
      <c r="Z25" t="s">
        <v>291</v>
      </c>
      <c r="AA25" t="s">
        <v>262</v>
      </c>
      <c r="AI25" t="str">
        <f t="shared" si="1"/>
        <v>Texas/La/DQ/Ark Blvd</v>
      </c>
    </row>
    <row r="26" spans="1:35" x14ac:dyDescent="0.3">
      <c r="A26" t="s">
        <v>226</v>
      </c>
      <c r="B26" t="s">
        <v>210</v>
      </c>
      <c r="C26" t="s">
        <v>215</v>
      </c>
      <c r="D26" t="s">
        <v>227</v>
      </c>
      <c r="E26" t="s">
        <v>18</v>
      </c>
      <c r="F26" t="s">
        <v>19</v>
      </c>
      <c r="G26" t="s">
        <v>228</v>
      </c>
      <c r="H26" t="s">
        <v>204</v>
      </c>
      <c r="I26" t="s">
        <v>23</v>
      </c>
      <c r="J26" t="s">
        <v>23</v>
      </c>
      <c r="K26" t="s">
        <v>229</v>
      </c>
      <c r="L26" t="s">
        <v>230</v>
      </c>
      <c r="M26" t="s">
        <v>220</v>
      </c>
      <c r="N26" t="s">
        <v>231</v>
      </c>
      <c r="O26" t="s">
        <v>279</v>
      </c>
      <c r="P26" t="e">
        <f t="shared" ca="1" si="0"/>
        <v>#NAME?</v>
      </c>
      <c r="Q26" t="s">
        <v>252</v>
      </c>
      <c r="R26" t="s">
        <v>251</v>
      </c>
      <c r="S26" t="s">
        <v>18</v>
      </c>
      <c r="T26" t="s">
        <v>253</v>
      </c>
      <c r="U26" t="s">
        <v>267</v>
      </c>
      <c r="V26" t="s">
        <v>254</v>
      </c>
      <c r="W26" t="s">
        <v>281</v>
      </c>
      <c r="AI26" t="str">
        <f t="shared" si="1"/>
        <v>Texas/La/DQ/Ark Blvd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ModifiedSheet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Umesh Katakam</cp:lastModifiedBy>
  <dcterms:created xsi:type="dcterms:W3CDTF">2025-03-02T17:26:35Z</dcterms:created>
  <dcterms:modified xsi:type="dcterms:W3CDTF">2025-03-02T17:32:02Z</dcterms:modified>
</cp:coreProperties>
</file>