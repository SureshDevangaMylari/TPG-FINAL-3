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UmeshK\Documents\Coding-To be coded\"/>
    </mc:Choice>
  </mc:AlternateContent>
  <xr:revisionPtr revIDLastSave="0" documentId="8_{E0EAC0ED-0434-4905-9B63-E9378E92A577}" xr6:coauthVersionLast="47" xr6:coauthVersionMax="47" xr10:uidLastSave="{00000000-0000-0000-0000-000000000000}"/>
  <bookViews>
    <workbookView xWindow="-120" yWindow="-120" windowWidth="29040" windowHeight="15840" xr2:uid="{00000000-000D-0000-FFFF-FFFF00000000}"/>
  </bookViews>
  <sheets>
    <sheet name="Modified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1" i="1" l="1" a="1"/>
  <c r="P31" i="1" s="1"/>
  <c r="P30" i="1" a="1"/>
  <c r="P30" i="1" s="1"/>
  <c r="P29" i="1" a="1"/>
  <c r="P29" i="1" s="1"/>
  <c r="P28" i="1" a="1"/>
  <c r="P28" i="1" s="1"/>
  <c r="P27" i="1" a="1"/>
  <c r="P27" i="1" s="1"/>
  <c r="P26" i="1"/>
  <c r="P26" i="1" a="1"/>
  <c r="P25" i="1" a="1"/>
  <c r="P25" i="1" s="1"/>
  <c r="P24" i="1" a="1"/>
  <c r="P24" i="1" s="1"/>
  <c r="P23" i="1" a="1"/>
  <c r="P23" i="1" s="1"/>
  <c r="P22" i="1" a="1"/>
  <c r="P22" i="1" s="1"/>
  <c r="P21" i="1"/>
  <c r="P21" i="1" a="1"/>
  <c r="P20" i="1" a="1"/>
  <c r="P20" i="1" s="1"/>
  <c r="P19" i="1"/>
  <c r="P19" i="1" a="1"/>
  <c r="P18" i="1"/>
  <c r="P18" i="1" a="1"/>
  <c r="P17" i="1" a="1"/>
  <c r="P17" i="1" s="1"/>
  <c r="P16" i="1" a="1"/>
  <c r="P16" i="1" s="1"/>
  <c r="P15" i="1" a="1"/>
  <c r="P15" i="1" s="1"/>
  <c r="P14" i="1" a="1"/>
  <c r="P14" i="1" s="1"/>
  <c r="P13" i="1" a="1"/>
  <c r="P13" i="1" s="1"/>
  <c r="P12" i="1" a="1"/>
  <c r="P12" i="1" s="1"/>
  <c r="P11" i="1"/>
  <c r="P11" i="1" a="1"/>
  <c r="P10" i="1" a="1"/>
  <c r="P10" i="1" s="1"/>
  <c r="P9" i="1"/>
  <c r="P9" i="1" a="1"/>
  <c r="P8" i="1"/>
  <c r="P8" i="1" a="1"/>
  <c r="P7" i="1" a="1"/>
  <c r="P7" i="1" s="1"/>
  <c r="P6" i="1" a="1"/>
  <c r="P6" i="1" s="1"/>
  <c r="P5" i="1" a="1"/>
  <c r="P5" i="1" s="1"/>
  <c r="P4" i="1" a="1"/>
  <c r="P4" i="1" s="1"/>
  <c r="P3" i="1" a="1"/>
  <c r="P3" i="1" s="1"/>
  <c r="P2" i="1" a="1"/>
  <c r="P2" i="1" s="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I3" i="1"/>
  <c r="AI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<sst xmlns="http://schemas.openxmlformats.org/spreadsheetml/2006/main" count="756" uniqueCount="319">
  <si>
    <t>CLAIMS#</t>
  </si>
  <si>
    <t>SERVICE DATE</t>
  </si>
  <si>
    <t>PVDR</t>
  </si>
  <si>
    <t>PATIENT</t>
  </si>
  <si>
    <t>PAYER</t>
  </si>
  <si>
    <t>STATUS</t>
  </si>
  <si>
    <t>CHARGES</t>
  </si>
  <si>
    <t>PMTS/ADJS</t>
  </si>
  <si>
    <t>Adjustment</t>
  </si>
  <si>
    <t>WithHeld</t>
  </si>
  <si>
    <t>Balance</t>
  </si>
  <si>
    <t>Account Number</t>
  </si>
  <si>
    <t>Provider Name</t>
  </si>
  <si>
    <t>Guarantor Name</t>
  </si>
  <si>
    <t>1817064</t>
  </si>
  <si>
    <t>11/01/2024</t>
  </si>
  <si>
    <t>JCC</t>
  </si>
  <si>
    <t>SMITH, ZACHARY</t>
  </si>
  <si>
    <t>BLUE CROSS BLUE SHIELD LA</t>
  </si>
  <si>
    <t>To Be Coded - Waterlabs AI</t>
  </si>
  <si>
    <t>858.00</t>
  </si>
  <si>
    <t>40.00</t>
  </si>
  <si>
    <t>0.00</t>
  </si>
  <si>
    <t>818.00</t>
  </si>
  <si>
    <t>365280</t>
  </si>
  <si>
    <t>Culbertson, John C.</t>
  </si>
  <si>
    <t>1832792</t>
  </si>
  <si>
    <t>11/11/2024</t>
  </si>
  <si>
    <t>DC</t>
  </si>
  <si>
    <t>LINDSEY JACKSON, NORAH, E</t>
  </si>
  <si>
    <t>BLUE CROSS BLUE SHIELD TX</t>
  </si>
  <si>
    <t>711.00</t>
  </si>
  <si>
    <t>100.00</t>
  </si>
  <si>
    <t>611.00</t>
  </si>
  <si>
    <t>263132</t>
  </si>
  <si>
    <t>Caltrider, David</t>
  </si>
  <si>
    <t>LINDSEY, EMILY PAIGE</t>
  </si>
  <si>
    <t>1823254</t>
  </si>
  <si>
    <t>11/12/2024</t>
  </si>
  <si>
    <t>BW</t>
  </si>
  <si>
    <t>Branson, Brandi</t>
  </si>
  <si>
    <t>AETNA MEDICARE</t>
  </si>
  <si>
    <t>780.00</t>
  </si>
  <si>
    <t>15.00</t>
  </si>
  <si>
    <t>765.00</t>
  </si>
  <si>
    <t>614371</t>
  </si>
  <si>
    <t>Whitwell, Bruce</t>
  </si>
  <si>
    <t>1840204</t>
  </si>
  <si>
    <t>11/26/2024</t>
  </si>
  <si>
    <t>SAD</t>
  </si>
  <si>
    <t>TAYLOR, HUBERT, RAY</t>
  </si>
  <si>
    <t>HUMANA CHOICE PPO - MEDICARE ADVANTAGE</t>
  </si>
  <si>
    <t>881.00</t>
  </si>
  <si>
    <t>55.00</t>
  </si>
  <si>
    <t>826.00</t>
  </si>
  <si>
    <t>545233</t>
  </si>
  <si>
    <t>Donnelly, Sherry A</t>
  </si>
  <si>
    <t>TAYLOR, HUBERT RAY</t>
  </si>
  <si>
    <t>1843303</t>
  </si>
  <si>
    <t>12/03/2024</t>
  </si>
  <si>
    <t>CMJ</t>
  </si>
  <si>
    <t>KEENER, PAYTON</t>
  </si>
  <si>
    <t>AMBETTER OF ARKANSAS</t>
  </si>
  <si>
    <t>579.00</t>
  </si>
  <si>
    <t>10.00</t>
  </si>
  <si>
    <t>569.00</t>
  </si>
  <si>
    <t>762716</t>
  </si>
  <si>
    <t>Janes, Colleen M</t>
  </si>
  <si>
    <t>KEENER, DAVID JEROME</t>
  </si>
  <si>
    <t>1841151</t>
  </si>
  <si>
    <t>12/09/2024</t>
  </si>
  <si>
    <t>TMB</t>
  </si>
  <si>
    <t>Hand, Dennis, C</t>
  </si>
  <si>
    <t>BLUE CROSS BLUE SHIELD AR</t>
  </si>
  <si>
    <t>591.00</t>
  </si>
  <si>
    <t>35.00</t>
  </si>
  <si>
    <t>556.00</t>
  </si>
  <si>
    <t>548387</t>
  </si>
  <si>
    <t>Bevill, Tashina M</t>
  </si>
  <si>
    <t>Hand, Dennis C</t>
  </si>
  <si>
    <t>1840901</t>
  </si>
  <si>
    <t>12/10/2024</t>
  </si>
  <si>
    <t>JBB</t>
  </si>
  <si>
    <t>DEAN, KEVIN, W</t>
  </si>
  <si>
    <t>687.00</t>
  </si>
  <si>
    <t>41020</t>
  </si>
  <si>
    <t>Browning, Jerry B</t>
  </si>
  <si>
    <t>DEAN, KEVIN W</t>
  </si>
  <si>
    <t>1840945</t>
  </si>
  <si>
    <t>IW</t>
  </si>
  <si>
    <t>Schreiber, Sarah</t>
  </si>
  <si>
    <t>650.00</t>
  </si>
  <si>
    <t>817273</t>
  </si>
  <si>
    <t>Waheed, Imran</t>
  </si>
  <si>
    <t>1841827</t>
  </si>
  <si>
    <t>12/11/2024</t>
  </si>
  <si>
    <t>RWT</t>
  </si>
  <si>
    <t>Ewing, Mary</t>
  </si>
  <si>
    <t>660.00</t>
  </si>
  <si>
    <t>20.00</t>
  </si>
  <si>
    <t>640.00</t>
  </si>
  <si>
    <t>666126</t>
  </si>
  <si>
    <t>Terrell III, Robert W</t>
  </si>
  <si>
    <t>1843111</t>
  </si>
  <si>
    <t>12/13/2024</t>
  </si>
  <si>
    <t>MKD</t>
  </si>
  <si>
    <t>BOGGS, MARGIE, S</t>
  </si>
  <si>
    <t>MEDICARE OF OKLAHOMA</t>
  </si>
  <si>
    <t>501045</t>
  </si>
  <si>
    <t>Darwent, Madison K</t>
  </si>
  <si>
    <t>BOGGS, MARGIE S</t>
  </si>
  <si>
    <t>1843904</t>
  </si>
  <si>
    <t>12/14/2024</t>
  </si>
  <si>
    <t>SLC</t>
  </si>
  <si>
    <t>Torres, Ruth, M</t>
  </si>
  <si>
    <t>ARKANSAS MEDICAID</t>
  </si>
  <si>
    <t>671.00</t>
  </si>
  <si>
    <t>818026</t>
  </si>
  <si>
    <t>Colbert, ShaRhonda L</t>
  </si>
  <si>
    <t>Torres, Ruth M</t>
  </si>
  <si>
    <t>1850724</t>
  </si>
  <si>
    <t>12/26/2024</t>
  </si>
  <si>
    <t>Dobbs, Carla</t>
  </si>
  <si>
    <t>733.00</t>
  </si>
  <si>
    <t>633.00</t>
  </si>
  <si>
    <t>820040</t>
  </si>
  <si>
    <t>1850790</t>
  </si>
  <si>
    <t>12/27/2024</t>
  </si>
  <si>
    <t>JHM</t>
  </si>
  <si>
    <t>Steptoe, Jeremy, JASON</t>
  </si>
  <si>
    <t>GALLAGHER BASSETT 2831</t>
  </si>
  <si>
    <t>897.00</t>
  </si>
  <si>
    <t>474870</t>
  </si>
  <si>
    <t>Mitchell, James Heath</t>
  </si>
  <si>
    <t>Steptoe, Jeremy JASON</t>
  </si>
  <si>
    <t>1852412</t>
  </si>
  <si>
    <t>12/28/2024</t>
  </si>
  <si>
    <t>LMS</t>
  </si>
  <si>
    <t>HERLIHY, CHARLOTTE</t>
  </si>
  <si>
    <t>TRICARE EAST</t>
  </si>
  <si>
    <t>559.00</t>
  </si>
  <si>
    <t>37.00</t>
  </si>
  <si>
    <t>522.00</t>
  </si>
  <si>
    <t>573038</t>
  </si>
  <si>
    <t>Sitton, Leah M</t>
  </si>
  <si>
    <t>HERLIHY, KIMBERLY</t>
  </si>
  <si>
    <t>1852420</t>
  </si>
  <si>
    <t>GARNETT, KHRIESTEN</t>
  </si>
  <si>
    <t>CIGNA</t>
  </si>
  <si>
    <t>580.00</t>
  </si>
  <si>
    <t>75.00</t>
  </si>
  <si>
    <t>505.00</t>
  </si>
  <si>
    <t>244884</t>
  </si>
  <si>
    <t>1852469</t>
  </si>
  <si>
    <t>12/30/2024</t>
  </si>
  <si>
    <t>REGAN, SUSAN</t>
  </si>
  <si>
    <t>518.00</t>
  </si>
  <si>
    <t>26.00</t>
  </si>
  <si>
    <t>492.00</t>
  </si>
  <si>
    <t>203027</t>
  </si>
  <si>
    <t>1852972</t>
  </si>
  <si>
    <t>Worthen, Kiara, C</t>
  </si>
  <si>
    <t>BLUE ADVANTAGE - ARKANSAS</t>
  </si>
  <si>
    <t>345.00</t>
  </si>
  <si>
    <t>330.00</t>
  </si>
  <si>
    <t>679545</t>
  </si>
  <si>
    <t>Worthen, Kiara C</t>
  </si>
  <si>
    <t>1854477</t>
  </si>
  <si>
    <t>01/02/2025</t>
  </si>
  <si>
    <t>Olive, Rachel</t>
  </si>
  <si>
    <t>703.00</t>
  </si>
  <si>
    <t>30.00</t>
  </si>
  <si>
    <t>673.00</t>
  </si>
  <si>
    <t>649574</t>
  </si>
  <si>
    <t>1855505</t>
  </si>
  <si>
    <t>01/03/2025</t>
  </si>
  <si>
    <t>BAIRD, MARI ETTA, A</t>
  </si>
  <si>
    <t>FEDERAL BCBS TX</t>
  </si>
  <si>
    <t>753.00</t>
  </si>
  <si>
    <t>723.00</t>
  </si>
  <si>
    <t>41169</t>
  </si>
  <si>
    <t>BAIRD, MARI ETTA A</t>
  </si>
  <si>
    <t>1857180</t>
  </si>
  <si>
    <t>01/06/2025</t>
  </si>
  <si>
    <t>PRG</t>
  </si>
  <si>
    <t>MAY, SHANE, W</t>
  </si>
  <si>
    <t>Triwest VACCN Region 4</t>
  </si>
  <si>
    <t>524.00</t>
  </si>
  <si>
    <t>112383</t>
  </si>
  <si>
    <t>Griffin, Patricia R</t>
  </si>
  <si>
    <t>MAY, SHANE W</t>
  </si>
  <si>
    <t>1857194</t>
  </si>
  <si>
    <t>MATHIS, KIMBERLY, C</t>
  </si>
  <si>
    <t>552.00</t>
  </si>
  <si>
    <t>177644</t>
  </si>
  <si>
    <t>MATHIS, KIMBERLY C</t>
  </si>
  <si>
    <t>1857239</t>
  </si>
  <si>
    <t>WILLIAMS, JERRID</t>
  </si>
  <si>
    <t>613.00</t>
  </si>
  <si>
    <t>46792</t>
  </si>
  <si>
    <t>1857247</t>
  </si>
  <si>
    <t>Smith, Johanna, L</t>
  </si>
  <si>
    <t>326.00</t>
  </si>
  <si>
    <t>422237</t>
  </si>
  <si>
    <t>Smith, Johanna L</t>
  </si>
  <si>
    <t>1857254</t>
  </si>
  <si>
    <t>Brantley, Charles, C</t>
  </si>
  <si>
    <t>646.00</t>
  </si>
  <si>
    <t>420431</t>
  </si>
  <si>
    <t>Brantley, Charles C</t>
  </si>
  <si>
    <t>1857255</t>
  </si>
  <si>
    <t>Linseisen, David</t>
  </si>
  <si>
    <t>675.00</t>
  </si>
  <si>
    <t>812659</t>
  </si>
  <si>
    <t>1857280</t>
  </si>
  <si>
    <t>HLC</t>
  </si>
  <si>
    <t>HOBBS, GINNIFFER, M</t>
  </si>
  <si>
    <t>498.00</t>
  </si>
  <si>
    <t>425495</t>
  </si>
  <si>
    <t>Coyle, Hanna L</t>
  </si>
  <si>
    <t>HOBBS, GINNIFFER M</t>
  </si>
  <si>
    <t>1857335</t>
  </si>
  <si>
    <t>TOOMBS, BRODERICK, L</t>
  </si>
  <si>
    <t>540.00</t>
  </si>
  <si>
    <t>446061</t>
  </si>
  <si>
    <t>TOOMBS, BRODERICK L</t>
  </si>
  <si>
    <t>1857586</t>
  </si>
  <si>
    <t>01/07/2025</t>
  </si>
  <si>
    <t>JERNIGAN, ALFRED, EUGENE</t>
  </si>
  <si>
    <t>714.00</t>
  </si>
  <si>
    <t>64846</t>
  </si>
  <si>
    <t>JERNIGAN, ALFRED EUGENE</t>
  </si>
  <si>
    <t>1857484</t>
  </si>
  <si>
    <t>Wolfe, Brandon</t>
  </si>
  <si>
    <t>628479</t>
  </si>
  <si>
    <t>1857676</t>
  </si>
  <si>
    <t>Polomsky, Michael</t>
  </si>
  <si>
    <t>395.00</t>
  </si>
  <si>
    <t>625347</t>
  </si>
  <si>
    <t>1857764</t>
  </si>
  <si>
    <t>SBD</t>
  </si>
  <si>
    <t>HINTERMAN, SABRINA</t>
  </si>
  <si>
    <t>455.00</t>
  </si>
  <si>
    <t>546273</t>
  </si>
  <si>
    <t>Dailey, Sarah B</t>
  </si>
  <si>
    <t>1857769</t>
  </si>
  <si>
    <t>DOWNER, JEREMY</t>
  </si>
  <si>
    <t>794.00</t>
  </si>
  <si>
    <t>528536</t>
  </si>
  <si>
    <t>1857755</t>
  </si>
  <si>
    <t>Tirado, Fernando</t>
  </si>
  <si>
    <t>773254</t>
  </si>
  <si>
    <t>1857917</t>
  </si>
  <si>
    <t>LEAKES, RICKY, D</t>
  </si>
  <si>
    <t>44152</t>
  </si>
  <si>
    <t>LEAKES, RICKY D</t>
  </si>
  <si>
    <t>App Faciliyty</t>
  </si>
  <si>
    <t>State</t>
  </si>
  <si>
    <t>POS</t>
  </si>
  <si>
    <t>Fee schedule</t>
  </si>
  <si>
    <t>Insurance</t>
  </si>
  <si>
    <t>CPT1</t>
  </si>
  <si>
    <t>CPT2</t>
  </si>
  <si>
    <t>CPT3</t>
  </si>
  <si>
    <t>CPT4</t>
  </si>
  <si>
    <t>CPT5</t>
  </si>
  <si>
    <t>CPT6</t>
  </si>
  <si>
    <t>CPT7</t>
  </si>
  <si>
    <t>CPT8</t>
  </si>
  <si>
    <t>CPT9</t>
  </si>
  <si>
    <t>CPT10</t>
  </si>
  <si>
    <t>CPT11</t>
  </si>
  <si>
    <t>CPT12</t>
  </si>
  <si>
    <t>Region</t>
  </si>
  <si>
    <t>Blanchard:HealthCARE Express - Blanchard</t>
  </si>
  <si>
    <t>BCBS LA 2023(2023-01-06-2025-01-31)</t>
  </si>
  <si>
    <t>20</t>
  </si>
  <si>
    <t>99214</t>
  </si>
  <si>
    <t>87637</t>
  </si>
  <si>
    <t>96136</t>
  </si>
  <si>
    <t>87880</t>
  </si>
  <si>
    <t>96372</t>
  </si>
  <si>
    <t>J1100</t>
  </si>
  <si>
    <t>Longview:HealthCARE Express - Longview</t>
  </si>
  <si>
    <t>BCBS TX 2023(2023-01-06-2025-01-31)</t>
  </si>
  <si>
    <t>87636</t>
  </si>
  <si>
    <t>S9088</t>
  </si>
  <si>
    <t>87807</t>
  </si>
  <si>
    <t>Bryant:HealthCARE Express - Bryant</t>
  </si>
  <si>
    <t>MEDICARE 2023-2023(2023-01-05-2025-01-31)</t>
  </si>
  <si>
    <t>99215</t>
  </si>
  <si>
    <t>71046</t>
  </si>
  <si>
    <t>ARBlvd:HealthCARE Express - Arkansas Blvd</t>
  </si>
  <si>
    <t>STANDARD 2023(2023-01-05-2025-01-31)</t>
  </si>
  <si>
    <t>Atlanta:HealthCARE Express - Atlanta</t>
  </si>
  <si>
    <t>BCBS AR 2023(2023-01-06-2025-01-31)</t>
  </si>
  <si>
    <t>73560</t>
  </si>
  <si>
    <t>J1885</t>
  </si>
  <si>
    <t>HealthCARE Express - Richmond Road</t>
  </si>
  <si>
    <t>J1010</t>
  </si>
  <si>
    <t>81003</t>
  </si>
  <si>
    <t>Maumelle:HealthCARE Express - Maumelle</t>
  </si>
  <si>
    <t>99204</t>
  </si>
  <si>
    <t>Choctaw:HealthCARE Express - Choctaw</t>
  </si>
  <si>
    <t>96127</t>
  </si>
  <si>
    <t>AR MEDICAID 2023(2023-01-01-2025-01-31)</t>
  </si>
  <si>
    <t>81025</t>
  </si>
  <si>
    <t>WV:HealthCARE Express - Wake Village</t>
  </si>
  <si>
    <t>11</t>
  </si>
  <si>
    <t>J0696</t>
  </si>
  <si>
    <t>MtPleasant:HealthCARE Express - Mount Pleasant</t>
  </si>
  <si>
    <t>TRICARE 2023(2023-01-06-2025-01-31)</t>
  </si>
  <si>
    <t>CIGNA 2023(2023-01-06-2025-01-31)</t>
  </si>
  <si>
    <t>Sherwood:HealthCARE Express - Sherwood</t>
  </si>
  <si>
    <t>J0702</t>
  </si>
  <si>
    <t>93000</t>
  </si>
  <si>
    <t>99203</t>
  </si>
  <si>
    <t>10120</t>
  </si>
  <si>
    <t>Marshall:HealthCARE Express - Marshall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</si>
</sst>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5"/>
  <sheetViews>
    <sheetView tabSelected="1" workbookViewId="0">
      <selection activeCell="P19" sqref="P19"/>
    </sheetView>
  </sheetViews>
  <sheetFormatPr defaultRowHeight="15" x14ac:dyDescent="0.25"/>
  <sheetData>
    <row r="1" spans="1:35" x14ac:dyDescent="0.25">
      <c r="A1" t="s">
        <v>0</v>
      </c>
      <c r="B1" t="s">
        <v>1</v>
      </c>
      <c r="C1" t="s">
        <v>2</v>
      </c>
      <c r="D1" t="s">
        <v>3</v>
      </c>
      <c r="E1" t="s">
        <v>4</v>
      </c>
      <c r="F1" t="s">
        <v>5</v>
      </c>
      <c r="G1" t="s">
        <v>6</v>
      </c>
      <c r="H1" t="s">
        <v>7</v>
      </c>
      <c r="I1" t="s">
        <v>8</v>
      </c>
      <c r="J1" t="s">
        <v>9</v>
      </c>
      <c r="K1" t="s">
        <v>10</v>
      </c>
      <c r="L1" t="s">
        <v>11</v>
      </c>
      <c r="M1" t="s">
        <v>12</v>
      </c>
      <c r="N1" t="s">
        <v>13</v>
      </c>
      <c r="O1" t="s">
        <v>256</v>
      </c>
      <c r="P1" t="s">
        <v>257</v>
      </c>
      <c r="Q1" t="s">
        <v>258</v>
      </c>
      <c r="R1" t="s">
        <v>259</v>
      </c>
      <c r="S1" t="s">
        <v>260</v>
      </c>
      <c r="T1" t="s">
        <v>261</v>
      </c>
      <c r="U1" t="s">
        <v>262</v>
      </c>
      <c r="V1" t="s">
        <v>263</v>
      </c>
      <c r="W1" t="s">
        <v>264</v>
      </c>
      <c r="X1" t="s">
        <v>265</v>
      </c>
      <c r="Y1" t="s">
        <v>266</v>
      </c>
      <c r="Z1" t="s">
        <v>267</v>
      </c>
      <c r="AA1" t="s">
        <v>268</v>
      </c>
      <c r="AB1" t="s">
        <v>269</v>
      </c>
      <c r="AC1" t="s">
        <v>270</v>
      </c>
      <c r="AD1" t="s">
        <v>271</v>
      </c>
      <c r="AE1" t="s">
        <v>272</v>
      </c>
      <c r="AI1" t="s">
        <v>273</v>
      </c>
    </row>
    <row r="2" spans="1:35" x14ac:dyDescent="0.25">
      <c r="A2" t="s">
        <v>14</v>
      </c>
      <c r="B2" t="s">
        <v>15</v>
      </c>
      <c r="C2" t="s">
        <v>16</v>
      </c>
      <c r="D2" t="s">
        <v>17</v>
      </c>
      <c r="E2" t="s">
        <v>18</v>
      </c>
      <c r="F2" t="s">
        <v>19</v>
      </c>
      <c r="G2" t="s">
        <v>20</v>
      </c>
      <c r="H2" t="s">
        <v>21</v>
      </c>
      <c r="I2" t="s">
        <v>22</v>
      </c>
      <c r="J2" t="s">
        <v>22</v>
      </c>
      <c r="K2" t="s">
        <v>23</v>
      </c>
      <c r="L2" t="s">
        <v>24</v>
      </c>
      <c r="M2" t="s">
        <v>25</v>
      </c>
      <c r="N2" t="s">
        <v>17</v>
      </c>
      <c r="O2" t="s">
        <v>274</v>
      </c>
      <c r="P2" t="str" cm="1">
        <f t="array" ref="P2">_xlfn.IFS(ISNUMBER(SEARCH("AEIC:", O2)), "Arkansas",ISNUMBER(SEARCH("STM:", O2)), "Texas",ISNUMBER(SEARCH("BILLING:", O2)), "Texas",ISNUMBER(SEARCH("AM:", O2)), "Texas",ISNUMBER(SEARCH("ARBlvd:", O2)), "Arkansas",ISNUMBER(SEARCH("Atlanta:", O2)), "Texas",ISNUMBER(SEARCH("Blanchard:", O2)), "Louisiana",ISNUMBER(SEARCH("Bryant:", O2)), "Arkansas",ISNUMBER(SEARCH("Choctaw:", O2)), "Oklahoma",ISNUMBER(SEARCH("Choc Allgy:", O2)), "Oklahoma",ISNUMBER(SEARCH("DeQueen:", O2)), "Arkansas",ISNUMBER(SEARCH("Edmond:", O2)), "Oklahoma",ISNUMBER(SEARCH("Edmd Aller:", O2)), "Oklahoma",ISNUMBER(SEARCH("Imaging:", O2)), "Texas",ISNUMBER(SEARCH("Longview:", O2)), "Texas",ISNUMBER(SEARCH("Marshall:", O2)), "Texas",ISNUMBER(SEARCH("Mar Allerg:", O2)), "Texas",ISNUMBER(SEARCH("Maumelle:", O2)), "Arkansas",ISNUMBER(SEARCH("MWC:", O2)), "Oklahoma",ISNUMBER(SEARCH("MWC Allgy:", O2)), "Oklahoma",ISNUMBER(SEARCH("Moore:", O2)), "Oklahoma",ISNUMBER(SEARCH("MooreAllgy:", O2)), "Oklahoma",ISNUMBER(SEARCH("MtPleasant:", O2)), "Texas",ISNUMBER(SEARCH("OccOffsite:", O2)), "Texas",ISNUMBER(SEARCH("Pain Mgmt:", O2)), "Texas",ISNUMBER(SEARCH("Paris:", O2)), "Texas",ISNUMBER(SEARCH("PT:", O2)), "Texas",ISNUMBER(SEARCH("RR Allergy:", O2)), "Texas",ISNUMBER(SEARCH("Sherwood:", O2)), "Arkansas",ISNUMBER(SEARCH("WV:", O2)), "Texas",ISNUMBER(SEARCH("Nur-Home:", O2)), "Texas",ISNUMBER(SEARCH("THC:", O2)), "Texas",ISNUMBER(SEARCH("WVTC:", O2)), "Texas",ISNUMBER(SEARCH("TSC:", O2)), "Texas",ISNUMBER(SEARCH("V-AR Blvd:", O2)), "Arkansas",ISNUMBER(SEARCH("V-Maumelle:", O2)), "Arkansas",ISNUMBER(SEARCH("V-Atlanta:", O2)), "Texas",ISNUMBER(SEARCH("VBlanchard:", O2)), "Louisiana",ISNUMBER(SEARCH("V-Bryant:", O2)), "Arkansas",ISNUMBER(SEARCH("V-Choctaw:", O2)), "Oklahoma",ISNUMBER(SEARCH("V-DeQueen:", O2)), "Arkansas",ISNUMBER(SEARCH("V-Longview:", O2)), "Texas",ISNUMBER(SEARCH("V-Marshall:", O2)), "Texas",ISNUMBER(SEARCH("V-MWC:", O2)), "Oklahoma",ISNUMBER(SEARCH("V-Moore:", O2)), "Oklahoma",ISNUMBER(SEARCH("V-MP:", O2)), "Texas",ISNUMBER(SEARCH("V-Edmond:", O2)), "Oklahoma",ISNUMBER(SEARCH("V-Paris:", O2)), "Texas",ISNUMBER(SEARCH("V-RR:", O2)), "Texas",ISNUMBER(SEARCH("V-Sherwood:", O2)), "Arkansas",ISNUMBER(SEARCH("V-WV:", O2)), "Texas",ISNUMBER(SEARCH("HealthCARE Express - Richmond Road", O2)), "Texas",ISNUMBER(SEARCH("HealthCARE Express - Occupational Medicine", O2)), "Texas")</f>
        <v>Louisiana</v>
      </c>
      <c r="Q2" t="s">
        <v>276</v>
      </c>
      <c r="R2" t="s">
        <v>275</v>
      </c>
      <c r="S2" t="s">
        <v>18</v>
      </c>
      <c r="T2" t="s">
        <v>277</v>
      </c>
      <c r="U2" t="s">
        <v>278</v>
      </c>
      <c r="V2" t="s">
        <v>279</v>
      </c>
      <c r="W2" t="s">
        <v>280</v>
      </c>
      <c r="X2" t="s">
        <v>281</v>
      </c>
      <c r="Y2" t="s">
        <v>282</v>
      </c>
      <c r="AI2" t="str">
        <f t="shared" ref="AI2:AI31" si="0">IF(ISNUMBER(SEARCH("McCrary, D",M2)),"Age Management",IF(ISNUMBER(SEARCH("Stanley, R",M2)),"Age Management",IF(ISNUMBER(SEARCH("Garner, P",M2)),"Little Rock Region",IF(ISNUMBER(SEARCH("Golden, C",M2)),"Little Rock Region",IF(ISNUMBER(SEARCH("Kordsmeier, E",M2)),"Little Rock Region",IF(ISNUMBER(SEARCH("Martin, S",M2)),"Little Rock Region",IF(ISNUMBER(SEARCH("Terrell III, R",M2)),"Little Rock Region",IF(ISNUMBER(SEARCH("Waheed, I",M2)),"Little Rock Region",IF(ISNUMBER(SEARCH("Whitwell, B",M2)),"Little Rock Region",IF(ISNUMBER(SEARCH("Anderson, R",M2)),"Oklahoma",IF(ISNUMBER(SEARCH("Baker, S",M2)),"Oklahoma",IF(ISNUMBER(SEARCH("Bishop, K",M2)),"Oklahoma",IF(ISNUMBER(SEARCH("Davis, C",M2)),"Oklahoma",IF(ISNUMBER(SEARCH("Harrison, J",M2)),"Oklahoma",IF(ISNUMBER(SEARCH("Orico, L",M2)),"Oklahoma",IF(ISNUMBER(SEARCH("Richardson, M",M2)),"Oklahoma",IF(ISNUMBER(SEARCH("Schmiedel, I",M2)),"Oklahoma",IF(ISNUMBER(SEARCH("Sitton, L",M2)),"Oklahoma",IF(ISNUMBER(SEARCH("Smith, C",M2)),"Oklahoma",IF(ISNUMBER(SEARCH("Wenner, T",M2)),"Oklahoma",IF(ISNUMBER(SEARCH("Wright, M",M2)),"Oklahoma",IF(ISNUMBER(SEARCH("Young, R",M2)),"Oklahoma",IF(ISNUMBER(SEARCH("Ayers, A",M2)),"Texas/La/DQ/Ark Blvd",IF(ISNUMBER(SEARCH("Ayers, R",M2)),"Texas/La/DQ/Ark Blvd",IF(ISNUMBER(SEARCH("Bailey, J",M2)),"Texas/La/DQ/Ark Blvd",IF(ISNUMBER(SEARCH("Bennett, C",M2)),"Texas/La/DQ/Ark Blvd",IF(ISNUMBER(SEARCH("Bevill, T",M2)),"Texas/La/DQ/Ark Blvd",IF(ISNUMBER(SEARCH("Bowen, A",M2)),"Texas/La/DQ/Ark Blvd",IF(ISNUMBER(SEARCH("Brandon, M",M2)),"Texas/La/DQ/Ark Blvd",IF(ISNUMBER(SEARCH("Browning, J",M2)),"Texas/La/DQ/Ark Blvd",IF(ISNUMBER(SEARCH("Butts, P",M2)),"Texas/La/DQ/Ark Blvd",IF(ISNUMBER(SEARCH("Caltrider, D",M2)),"Texas/La/DQ/Ark Blvd",IF(ISNUMBER(SEARCH("Colbert, S",M2)),"Texas/La/DQ/Ark Blvd",IF(ISNUMBER(SEARCH("Coyle, H",M2)),"Texas/La/DQ/Ark Blvd",IF(ISNUMBER(SEARCH("Crouthamel, M",M2)),"Texas/La/DQ/Ark Blvd",IF(ISNUMBER(SEARCH("Culbertson, J",M2)),"Texas/La/DQ/Ark Blvd",IF(ISNUMBER(SEARCH("Dailey, S",M2)),"Texas/La/DQ/Ark Blvd",IF(ISNUMBER(SEARCH("Donnelly, S",M2)),"Texas/La/DQ/Ark Blvd",IF(ISNUMBER(SEARCH("Foltz, S",M2)),"Texas/La/DQ/Ark Blvd",IF(ISNUMBER(SEARCH("Foltz, T",M2)),"Texas/La/DQ/Ark Blvd",IF(ISNUMBER(SEARCH("Gallegos, C",M2)),"Texas/La/DQ/Ark Blvd",IF(ISNUMBER(SEARCH("Green, K",M2)),"Texas/La/DQ/Ark Blvd",IF(ISNUMBER(SEARCH("Griffin, P",M2)),"Texas/La/DQ/Ark Blvd",IF(ISNUMBER(SEARCH("Hawthorne, R",M2)),"Texas/La/DQ/Ark Blvd",IF(ISNUMBER(SEARCH("Hickey, P",M2)),"Texas/La/DQ/Ark Blvd",IF(ISNUMBER(SEARCH("Hunter, B",M2)),"Texas/La/DQ/Ark Blvd",IF(ISNUMBER(SEARCH("Hutson, D",M2)),"Texas/La/DQ/Ark Blvd",IF(ISNUMBER(SEARCH("Johnson, B",M2)),"Texas/La/DQ/Ark Blvd",IF(ISNUMBER(SEARCH("McCann, K",M2)),"Texas/La/DQ/Ark Blvd",IF(ISNUMBER(SEARCH("Meredith, P",M2)),"Texas/La/DQ/Ark Blvd",IF(ISNUMBER(SEARCH("Mitchell, J",M2)),"Texas/La/DQ/Ark Blvd",IF(ISNUMBER(SEARCH("Pounds, T",M2)),"Texas/La/DQ/Ark Blvd",IF(ISNUMBER(SEARCH("Redden, K",M2)),"Texas/La/DQ/Ark Blvd",IF(ISNUMBER(SEARCH("Redden, M",M2)),"Texas/La/DQ/Ark Blvd",IF(ISNUMBER(SEARCH("Reynolds, S",M2)),"Texas/La/DQ/Ark Blvd",IF(ISNUMBER(SEARCH("Rolon, K",M2)),"Texas/La/DQ/Ark Blvd",IF(ISNUMBER(SEARCH("Rowe, J",M2)),"Texas/La/DQ/Ark Blvd",IF(ISNUMBER(SEARCH("Russette, R",M2)),"Texas/La/DQ/Ark Blvd",IF(ISNUMBER(SEARCH("West, S",M2)),"Texas/La/DQ/Ark Blvd",IF(ISNUMBER(SEARCH("Burch, J",M2)),"Workers Comp",IF(ISNUMBER(SEARCH("Traylor, T",M2)),"Workers Comp",IF(ISNUMBER(SEARCH("Walls, G",M2)),"Workers Comp","-"))))))))))))))))))))))))))))))))))))))))))))))))))))))))))))))</f>
        <v>Texas/La/DQ/Ark Blvd</v>
      </c>
    </row>
    <row r="3" spans="1:35" x14ac:dyDescent="0.25">
      <c r="A3" t="s">
        <v>26</v>
      </c>
      <c r="B3" t="s">
        <v>27</v>
      </c>
      <c r="C3" t="s">
        <v>28</v>
      </c>
      <c r="D3" t="s">
        <v>29</v>
      </c>
      <c r="E3" t="s">
        <v>30</v>
      </c>
      <c r="F3" t="s">
        <v>19</v>
      </c>
      <c r="G3" t="s">
        <v>31</v>
      </c>
      <c r="H3" t="s">
        <v>32</v>
      </c>
      <c r="I3" t="s">
        <v>22</v>
      </c>
      <c r="J3" t="s">
        <v>22</v>
      </c>
      <c r="K3" t="s">
        <v>33</v>
      </c>
      <c r="L3" t="s">
        <v>34</v>
      </c>
      <c r="M3" t="s">
        <v>35</v>
      </c>
      <c r="N3" t="s">
        <v>36</v>
      </c>
      <c r="O3" t="s">
        <v>283</v>
      </c>
      <c r="P3" t="str" cm="1">
        <f t="array" ref="P3">_xlfn.IFS(ISNUMBER(SEARCH("AEIC:", O3)), "Arkansas",ISNUMBER(SEARCH("STM:", O3)), "Texas",ISNUMBER(SEARCH("BILLING:", O3)), "Texas",ISNUMBER(SEARCH("AM:", O3)), "Texas",ISNUMBER(SEARCH("ARBlvd:", O3)), "Arkansas",ISNUMBER(SEARCH("Atlanta:", O3)), "Texas",ISNUMBER(SEARCH("Blanchard:", O3)), "Louisiana",ISNUMBER(SEARCH("Bryant:", O3)), "Arkansas",ISNUMBER(SEARCH("Choctaw:", O3)), "Oklahoma",ISNUMBER(SEARCH("Choc Allgy:", O3)), "Oklahoma",ISNUMBER(SEARCH("DeQueen:", O3)), "Arkansas",ISNUMBER(SEARCH("Edmond:", O3)), "Oklahoma",ISNUMBER(SEARCH("Edmd Aller:", O3)), "Oklahoma",ISNUMBER(SEARCH("Imaging:", O3)), "Texas",ISNUMBER(SEARCH("Longview:", O3)), "Texas",ISNUMBER(SEARCH("Marshall:", O3)), "Texas",ISNUMBER(SEARCH("Mar Allerg:", O3)), "Texas",ISNUMBER(SEARCH("Maumelle:", O3)), "Arkansas",ISNUMBER(SEARCH("MWC:", O3)), "Oklahoma",ISNUMBER(SEARCH("MWC Allgy:", O3)), "Oklahoma",ISNUMBER(SEARCH("Moore:", O3)), "Oklahoma",ISNUMBER(SEARCH("MooreAllgy:", O3)), "Oklahoma",ISNUMBER(SEARCH("MtPleasant:", O3)), "Texas",ISNUMBER(SEARCH("OccOffsite:", O3)), "Texas",ISNUMBER(SEARCH("Pain Mgmt:", O3)), "Texas",ISNUMBER(SEARCH("Paris:", O3)), "Texas",ISNUMBER(SEARCH("PT:", O3)), "Texas",ISNUMBER(SEARCH("RR Allergy:", O3)), "Texas",ISNUMBER(SEARCH("Sherwood:", O3)), "Arkansas",ISNUMBER(SEARCH("WV:", O3)), "Texas",ISNUMBER(SEARCH("Nur-Home:", O3)), "Texas",ISNUMBER(SEARCH("THC:", O3)), "Texas",ISNUMBER(SEARCH("WVTC:", O3)), "Texas",ISNUMBER(SEARCH("TSC:", O3)), "Texas",ISNUMBER(SEARCH("V-AR Blvd:", O3)), "Arkansas",ISNUMBER(SEARCH("V-Maumelle:", O3)), "Arkansas",ISNUMBER(SEARCH("V-Atlanta:", O3)), "Texas",ISNUMBER(SEARCH("VBlanchard:", O3)), "Louisiana",ISNUMBER(SEARCH("V-Bryant:", O3)), "Arkansas",ISNUMBER(SEARCH("V-Choctaw:", O3)), "Oklahoma",ISNUMBER(SEARCH("V-DeQueen:", O3)), "Arkansas",ISNUMBER(SEARCH("V-Longview:", O3)), "Texas",ISNUMBER(SEARCH("V-Marshall:", O3)), "Texas",ISNUMBER(SEARCH("V-MWC:", O3)), "Oklahoma",ISNUMBER(SEARCH("V-Moore:", O3)), "Oklahoma",ISNUMBER(SEARCH("V-MP:", O3)), "Texas",ISNUMBER(SEARCH("V-Edmond:", O3)), "Oklahoma",ISNUMBER(SEARCH("V-Paris:", O3)), "Texas",ISNUMBER(SEARCH("V-RR:", O3)), "Texas",ISNUMBER(SEARCH("V-Sherwood:", O3)), "Arkansas",ISNUMBER(SEARCH("V-WV:", O3)), "Texas",ISNUMBER(SEARCH("HealthCARE Express - Richmond Road", O3)), "Texas",ISNUMBER(SEARCH("HealthCARE Express - Occupational Medicine", O3)), "Texas")</f>
        <v>Texas</v>
      </c>
      <c r="Q3" t="s">
        <v>276</v>
      </c>
      <c r="R3" t="s">
        <v>284</v>
      </c>
      <c r="S3" t="s">
        <v>30</v>
      </c>
      <c r="T3" t="s">
        <v>277</v>
      </c>
      <c r="U3" t="s">
        <v>285</v>
      </c>
      <c r="V3" t="s">
        <v>286</v>
      </c>
      <c r="W3" t="s">
        <v>280</v>
      </c>
      <c r="X3" t="s">
        <v>287</v>
      </c>
      <c r="AI3" t="str">
        <f t="shared" si="0"/>
        <v>Texas/La/DQ/Ark Blvd</v>
      </c>
    </row>
    <row r="4" spans="1:35" x14ac:dyDescent="0.25">
      <c r="A4" t="s">
        <v>37</v>
      </c>
      <c r="B4" t="s">
        <v>38</v>
      </c>
      <c r="C4" t="s">
        <v>39</v>
      </c>
      <c r="D4" t="s">
        <v>40</v>
      </c>
      <c r="E4" t="s">
        <v>41</v>
      </c>
      <c r="F4" t="s">
        <v>19</v>
      </c>
      <c r="G4" t="s">
        <v>42</v>
      </c>
      <c r="H4" t="s">
        <v>43</v>
      </c>
      <c r="I4" t="s">
        <v>22</v>
      </c>
      <c r="J4" t="s">
        <v>22</v>
      </c>
      <c r="K4" t="s">
        <v>44</v>
      </c>
      <c r="L4" t="s">
        <v>45</v>
      </c>
      <c r="M4" t="s">
        <v>46</v>
      </c>
      <c r="N4" t="s">
        <v>40</v>
      </c>
      <c r="O4" t="s">
        <v>288</v>
      </c>
      <c r="P4" t="str" cm="1">
        <f t="array" ref="P4">_xlfn.IFS(ISNUMBER(SEARCH("AEIC:", O4)), "Arkansas",ISNUMBER(SEARCH("STM:", O4)), "Texas",ISNUMBER(SEARCH("BILLING:", O4)), "Texas",ISNUMBER(SEARCH("AM:", O4)), "Texas",ISNUMBER(SEARCH("ARBlvd:", O4)), "Arkansas",ISNUMBER(SEARCH("Atlanta:", O4)), "Texas",ISNUMBER(SEARCH("Blanchard:", O4)), "Louisiana",ISNUMBER(SEARCH("Bryant:", O4)), "Arkansas",ISNUMBER(SEARCH("Choctaw:", O4)), "Oklahoma",ISNUMBER(SEARCH("Choc Allgy:", O4)), "Oklahoma",ISNUMBER(SEARCH("DeQueen:", O4)), "Arkansas",ISNUMBER(SEARCH("Edmond:", O4)), "Oklahoma",ISNUMBER(SEARCH("Edmd Aller:", O4)), "Oklahoma",ISNUMBER(SEARCH("Imaging:", O4)), "Texas",ISNUMBER(SEARCH("Longview:", O4)), "Texas",ISNUMBER(SEARCH("Marshall:", O4)), "Texas",ISNUMBER(SEARCH("Mar Allerg:", O4)), "Texas",ISNUMBER(SEARCH("Maumelle:", O4)), "Arkansas",ISNUMBER(SEARCH("MWC:", O4)), "Oklahoma",ISNUMBER(SEARCH("MWC Allgy:", O4)), "Oklahoma",ISNUMBER(SEARCH("Moore:", O4)), "Oklahoma",ISNUMBER(SEARCH("MooreAllgy:", O4)), "Oklahoma",ISNUMBER(SEARCH("MtPleasant:", O4)), "Texas",ISNUMBER(SEARCH("OccOffsite:", O4)), "Texas",ISNUMBER(SEARCH("Pain Mgmt:", O4)), "Texas",ISNUMBER(SEARCH("Paris:", O4)), "Texas",ISNUMBER(SEARCH("PT:", O4)), "Texas",ISNUMBER(SEARCH("RR Allergy:", O4)), "Texas",ISNUMBER(SEARCH("Sherwood:", O4)), "Arkansas",ISNUMBER(SEARCH("WV:", O4)), "Texas",ISNUMBER(SEARCH("Nur-Home:", O4)), "Texas",ISNUMBER(SEARCH("THC:", O4)), "Texas",ISNUMBER(SEARCH("WVTC:", O4)), "Texas",ISNUMBER(SEARCH("TSC:", O4)), "Texas",ISNUMBER(SEARCH("V-AR Blvd:", O4)), "Arkansas",ISNUMBER(SEARCH("V-Maumelle:", O4)), "Arkansas",ISNUMBER(SEARCH("V-Atlanta:", O4)), "Texas",ISNUMBER(SEARCH("VBlanchard:", O4)), "Louisiana",ISNUMBER(SEARCH("V-Bryant:", O4)), "Arkansas",ISNUMBER(SEARCH("V-Choctaw:", O4)), "Oklahoma",ISNUMBER(SEARCH("V-DeQueen:", O4)), "Arkansas",ISNUMBER(SEARCH("V-Longview:", O4)), "Texas",ISNUMBER(SEARCH("V-Marshall:", O4)), "Texas",ISNUMBER(SEARCH("V-MWC:", O4)), "Oklahoma",ISNUMBER(SEARCH("V-Moore:", O4)), "Oklahoma",ISNUMBER(SEARCH("V-MP:", O4)), "Texas",ISNUMBER(SEARCH("V-Edmond:", O4)), "Oklahoma",ISNUMBER(SEARCH("V-Paris:", O4)), "Texas",ISNUMBER(SEARCH("V-RR:", O4)), "Texas",ISNUMBER(SEARCH("V-Sherwood:", O4)), "Arkansas",ISNUMBER(SEARCH("V-WV:", O4)), "Texas",ISNUMBER(SEARCH("HealthCARE Express - Richmond Road", O4)), "Texas",ISNUMBER(SEARCH("HealthCARE Express - Occupational Medicine", O4)), "Texas")</f>
        <v>Arkansas</v>
      </c>
      <c r="Q4" t="s">
        <v>276</v>
      </c>
      <c r="R4" t="s">
        <v>289</v>
      </c>
      <c r="S4" t="s">
        <v>41</v>
      </c>
      <c r="T4" t="s">
        <v>277</v>
      </c>
      <c r="U4" t="s">
        <v>278</v>
      </c>
      <c r="V4" t="s">
        <v>279</v>
      </c>
      <c r="AI4" t="str">
        <f t="shared" si="0"/>
        <v>Little Rock Region</v>
      </c>
    </row>
    <row r="5" spans="1:35" x14ac:dyDescent="0.25">
      <c r="A5" t="s">
        <v>47</v>
      </c>
      <c r="B5" t="s">
        <v>48</v>
      </c>
      <c r="C5" t="s">
        <v>49</v>
      </c>
      <c r="D5" t="s">
        <v>50</v>
      </c>
      <c r="E5" t="s">
        <v>51</v>
      </c>
      <c r="F5" t="s">
        <v>19</v>
      </c>
      <c r="G5" t="s">
        <v>52</v>
      </c>
      <c r="H5" t="s">
        <v>53</v>
      </c>
      <c r="I5" t="s">
        <v>22</v>
      </c>
      <c r="J5" t="s">
        <v>22</v>
      </c>
      <c r="K5" t="s">
        <v>54</v>
      </c>
      <c r="L5" t="s">
        <v>55</v>
      </c>
      <c r="M5" t="s">
        <v>56</v>
      </c>
      <c r="N5" t="s">
        <v>57</v>
      </c>
      <c r="O5" t="s">
        <v>283</v>
      </c>
      <c r="P5" t="str" cm="1">
        <f t="array" ref="P5">_xlfn.IFS(ISNUMBER(SEARCH("AEIC:", O5)), "Arkansas",ISNUMBER(SEARCH("STM:", O5)), "Texas",ISNUMBER(SEARCH("BILLING:", O5)), "Texas",ISNUMBER(SEARCH("AM:", O5)), "Texas",ISNUMBER(SEARCH("ARBlvd:", O5)), "Arkansas",ISNUMBER(SEARCH("Atlanta:", O5)), "Texas",ISNUMBER(SEARCH("Blanchard:", O5)), "Louisiana",ISNUMBER(SEARCH("Bryant:", O5)), "Arkansas",ISNUMBER(SEARCH("Choctaw:", O5)), "Oklahoma",ISNUMBER(SEARCH("Choc Allgy:", O5)), "Oklahoma",ISNUMBER(SEARCH("DeQueen:", O5)), "Arkansas",ISNUMBER(SEARCH("Edmond:", O5)), "Oklahoma",ISNUMBER(SEARCH("Edmd Aller:", O5)), "Oklahoma",ISNUMBER(SEARCH("Imaging:", O5)), "Texas",ISNUMBER(SEARCH("Longview:", O5)), "Texas",ISNUMBER(SEARCH("Marshall:", O5)), "Texas",ISNUMBER(SEARCH("Mar Allerg:", O5)), "Texas",ISNUMBER(SEARCH("Maumelle:", O5)), "Arkansas",ISNUMBER(SEARCH("MWC:", O5)), "Oklahoma",ISNUMBER(SEARCH("MWC Allgy:", O5)), "Oklahoma",ISNUMBER(SEARCH("Moore:", O5)), "Oklahoma",ISNUMBER(SEARCH("MooreAllgy:", O5)), "Oklahoma",ISNUMBER(SEARCH("MtPleasant:", O5)), "Texas",ISNUMBER(SEARCH("OccOffsite:", O5)), "Texas",ISNUMBER(SEARCH("Pain Mgmt:", O5)), "Texas",ISNUMBER(SEARCH("Paris:", O5)), "Texas",ISNUMBER(SEARCH("PT:", O5)), "Texas",ISNUMBER(SEARCH("RR Allergy:", O5)), "Texas",ISNUMBER(SEARCH("Sherwood:", O5)), "Arkansas",ISNUMBER(SEARCH("WV:", O5)), "Texas",ISNUMBER(SEARCH("Nur-Home:", O5)), "Texas",ISNUMBER(SEARCH("THC:", O5)), "Texas",ISNUMBER(SEARCH("WVTC:", O5)), "Texas",ISNUMBER(SEARCH("TSC:", O5)), "Texas",ISNUMBER(SEARCH("V-AR Blvd:", O5)), "Arkansas",ISNUMBER(SEARCH("V-Maumelle:", O5)), "Arkansas",ISNUMBER(SEARCH("V-Atlanta:", O5)), "Texas",ISNUMBER(SEARCH("VBlanchard:", O5)), "Louisiana",ISNUMBER(SEARCH("V-Bryant:", O5)), "Arkansas",ISNUMBER(SEARCH("V-Choctaw:", O5)), "Oklahoma",ISNUMBER(SEARCH("V-DeQueen:", O5)), "Arkansas",ISNUMBER(SEARCH("V-Longview:", O5)), "Texas",ISNUMBER(SEARCH("V-Marshall:", O5)), "Texas",ISNUMBER(SEARCH("V-MWC:", O5)), "Oklahoma",ISNUMBER(SEARCH("V-Moore:", O5)), "Oklahoma",ISNUMBER(SEARCH("V-MP:", O5)), "Texas",ISNUMBER(SEARCH("V-Edmond:", O5)), "Oklahoma",ISNUMBER(SEARCH("V-Paris:", O5)), "Texas",ISNUMBER(SEARCH("V-RR:", O5)), "Texas",ISNUMBER(SEARCH("V-Sherwood:", O5)), "Arkansas",ISNUMBER(SEARCH("V-WV:", O5)), "Texas",ISNUMBER(SEARCH("HealthCARE Express - Richmond Road", O5)), "Texas",ISNUMBER(SEARCH("HealthCARE Express - Occupational Medicine", O5)), "Texas")</f>
        <v>Texas</v>
      </c>
      <c r="Q5" t="s">
        <v>276</v>
      </c>
      <c r="R5" t="s">
        <v>289</v>
      </c>
      <c r="S5" t="s">
        <v>51</v>
      </c>
      <c r="T5" t="s">
        <v>290</v>
      </c>
      <c r="U5" t="s">
        <v>278</v>
      </c>
      <c r="V5" t="s">
        <v>291</v>
      </c>
      <c r="AI5" t="str">
        <f t="shared" si="0"/>
        <v>Texas/La/DQ/Ark Blvd</v>
      </c>
    </row>
    <row r="6" spans="1:35" x14ac:dyDescent="0.25">
      <c r="A6" t="s">
        <v>58</v>
      </c>
      <c r="B6" t="s">
        <v>59</v>
      </c>
      <c r="C6" t="s">
        <v>60</v>
      </c>
      <c r="D6" t="s">
        <v>61</v>
      </c>
      <c r="E6" t="s">
        <v>62</v>
      </c>
      <c r="F6" t="s">
        <v>19</v>
      </c>
      <c r="G6" t="s">
        <v>63</v>
      </c>
      <c r="H6" t="s">
        <v>64</v>
      </c>
      <c r="I6" t="s">
        <v>22</v>
      </c>
      <c r="J6" t="s">
        <v>22</v>
      </c>
      <c r="K6" t="s">
        <v>65</v>
      </c>
      <c r="L6" t="s">
        <v>66</v>
      </c>
      <c r="M6" t="s">
        <v>67</v>
      </c>
      <c r="N6" t="s">
        <v>68</v>
      </c>
      <c r="O6" t="s">
        <v>292</v>
      </c>
      <c r="P6" t="str" cm="1">
        <f t="array" ref="P6">_xlfn.IFS(ISNUMBER(SEARCH("AEIC:", O6)), "Arkansas",ISNUMBER(SEARCH("STM:", O6)), "Texas",ISNUMBER(SEARCH("BILLING:", O6)), "Texas",ISNUMBER(SEARCH("AM:", O6)), "Texas",ISNUMBER(SEARCH("ARBlvd:", O6)), "Arkansas",ISNUMBER(SEARCH("Atlanta:", O6)), "Texas",ISNUMBER(SEARCH("Blanchard:", O6)), "Louisiana",ISNUMBER(SEARCH("Bryant:", O6)), "Arkansas",ISNUMBER(SEARCH("Choctaw:", O6)), "Oklahoma",ISNUMBER(SEARCH("Choc Allgy:", O6)), "Oklahoma",ISNUMBER(SEARCH("DeQueen:", O6)), "Arkansas",ISNUMBER(SEARCH("Edmond:", O6)), "Oklahoma",ISNUMBER(SEARCH("Edmd Aller:", O6)), "Oklahoma",ISNUMBER(SEARCH("Imaging:", O6)), "Texas",ISNUMBER(SEARCH("Longview:", O6)), "Texas",ISNUMBER(SEARCH("Marshall:", O6)), "Texas",ISNUMBER(SEARCH("Mar Allerg:", O6)), "Texas",ISNUMBER(SEARCH("Maumelle:", O6)), "Arkansas",ISNUMBER(SEARCH("MWC:", O6)), "Oklahoma",ISNUMBER(SEARCH("MWC Allgy:", O6)), "Oklahoma",ISNUMBER(SEARCH("Moore:", O6)), "Oklahoma",ISNUMBER(SEARCH("MooreAllgy:", O6)), "Oklahoma",ISNUMBER(SEARCH("MtPleasant:", O6)), "Texas",ISNUMBER(SEARCH("OccOffsite:", O6)), "Texas",ISNUMBER(SEARCH("Pain Mgmt:", O6)), "Texas",ISNUMBER(SEARCH("Paris:", O6)), "Texas",ISNUMBER(SEARCH("PT:", O6)), "Texas",ISNUMBER(SEARCH("RR Allergy:", O6)), "Texas",ISNUMBER(SEARCH("Sherwood:", O6)), "Arkansas",ISNUMBER(SEARCH("WV:", O6)), "Texas",ISNUMBER(SEARCH("Nur-Home:", O6)), "Texas",ISNUMBER(SEARCH("THC:", O6)), "Texas",ISNUMBER(SEARCH("WVTC:", O6)), "Texas",ISNUMBER(SEARCH("TSC:", O6)), "Texas",ISNUMBER(SEARCH("V-AR Blvd:", O6)), "Arkansas",ISNUMBER(SEARCH("V-Maumelle:", O6)), "Arkansas",ISNUMBER(SEARCH("V-Atlanta:", O6)), "Texas",ISNUMBER(SEARCH("VBlanchard:", O6)), "Louisiana",ISNUMBER(SEARCH("V-Bryant:", O6)), "Arkansas",ISNUMBER(SEARCH("V-Choctaw:", O6)), "Oklahoma",ISNUMBER(SEARCH("V-DeQueen:", O6)), "Arkansas",ISNUMBER(SEARCH("V-Longview:", O6)), "Texas",ISNUMBER(SEARCH("V-Marshall:", O6)), "Texas",ISNUMBER(SEARCH("V-MWC:", O6)), "Oklahoma",ISNUMBER(SEARCH("V-Moore:", O6)), "Oklahoma",ISNUMBER(SEARCH("V-MP:", O6)), "Texas",ISNUMBER(SEARCH("V-Edmond:", O6)), "Oklahoma",ISNUMBER(SEARCH("V-Paris:", O6)), "Texas",ISNUMBER(SEARCH("V-RR:", O6)), "Texas",ISNUMBER(SEARCH("V-Sherwood:", O6)), "Arkansas",ISNUMBER(SEARCH("V-WV:", O6)), "Texas",ISNUMBER(SEARCH("HealthCARE Express - Richmond Road", O6)), "Texas",ISNUMBER(SEARCH("HealthCARE Express - Occupational Medicine", O6)), "Texas")</f>
        <v>Arkansas</v>
      </c>
      <c r="Q6" t="s">
        <v>276</v>
      </c>
      <c r="R6" t="s">
        <v>293</v>
      </c>
      <c r="S6" t="s">
        <v>62</v>
      </c>
      <c r="T6" t="s">
        <v>277</v>
      </c>
      <c r="U6" t="s">
        <v>285</v>
      </c>
      <c r="V6" t="s">
        <v>280</v>
      </c>
      <c r="W6" t="s">
        <v>287</v>
      </c>
      <c r="AI6" t="str">
        <f t="shared" si="0"/>
        <v>-</v>
      </c>
    </row>
    <row r="7" spans="1:35" x14ac:dyDescent="0.25">
      <c r="A7" t="s">
        <v>69</v>
      </c>
      <c r="B7" t="s">
        <v>70</v>
      </c>
      <c r="C7" t="s">
        <v>71</v>
      </c>
      <c r="D7" t="s">
        <v>72</v>
      </c>
      <c r="E7" t="s">
        <v>73</v>
      </c>
      <c r="F7" t="s">
        <v>19</v>
      </c>
      <c r="G7" t="s">
        <v>74</v>
      </c>
      <c r="H7" t="s">
        <v>75</v>
      </c>
      <c r="I7" t="s">
        <v>22</v>
      </c>
      <c r="J7" t="s">
        <v>22</v>
      </c>
      <c r="K7" t="s">
        <v>76</v>
      </c>
      <c r="L7" t="s">
        <v>77</v>
      </c>
      <c r="M7" t="s">
        <v>78</v>
      </c>
      <c r="N7" t="s">
        <v>79</v>
      </c>
      <c r="O7" t="s">
        <v>294</v>
      </c>
      <c r="P7" t="str" cm="1">
        <f t="array" ref="P7">_xlfn.IFS(ISNUMBER(SEARCH("AEIC:", O7)), "Arkansas",ISNUMBER(SEARCH("STM:", O7)), "Texas",ISNUMBER(SEARCH("BILLING:", O7)), "Texas",ISNUMBER(SEARCH("AM:", O7)), "Texas",ISNUMBER(SEARCH("ARBlvd:", O7)), "Arkansas",ISNUMBER(SEARCH("Atlanta:", O7)), "Texas",ISNUMBER(SEARCH("Blanchard:", O7)), "Louisiana",ISNUMBER(SEARCH("Bryant:", O7)), "Arkansas",ISNUMBER(SEARCH("Choctaw:", O7)), "Oklahoma",ISNUMBER(SEARCH("Choc Allgy:", O7)), "Oklahoma",ISNUMBER(SEARCH("DeQueen:", O7)), "Arkansas",ISNUMBER(SEARCH("Edmond:", O7)), "Oklahoma",ISNUMBER(SEARCH("Edmd Aller:", O7)), "Oklahoma",ISNUMBER(SEARCH("Imaging:", O7)), "Texas",ISNUMBER(SEARCH("Longview:", O7)), "Texas",ISNUMBER(SEARCH("Marshall:", O7)), "Texas",ISNUMBER(SEARCH("Mar Allerg:", O7)), "Texas",ISNUMBER(SEARCH("Maumelle:", O7)), "Arkansas",ISNUMBER(SEARCH("MWC:", O7)), "Oklahoma",ISNUMBER(SEARCH("MWC Allgy:", O7)), "Oklahoma",ISNUMBER(SEARCH("Moore:", O7)), "Oklahoma",ISNUMBER(SEARCH("MooreAllgy:", O7)), "Oklahoma",ISNUMBER(SEARCH("MtPleasant:", O7)), "Texas",ISNUMBER(SEARCH("OccOffsite:", O7)), "Texas",ISNUMBER(SEARCH("Pain Mgmt:", O7)), "Texas",ISNUMBER(SEARCH("Paris:", O7)), "Texas",ISNUMBER(SEARCH("PT:", O7)), "Texas",ISNUMBER(SEARCH("RR Allergy:", O7)), "Texas",ISNUMBER(SEARCH("Sherwood:", O7)), "Arkansas",ISNUMBER(SEARCH("WV:", O7)), "Texas",ISNUMBER(SEARCH("Nur-Home:", O7)), "Texas",ISNUMBER(SEARCH("THC:", O7)), "Texas",ISNUMBER(SEARCH("WVTC:", O7)), "Texas",ISNUMBER(SEARCH("TSC:", O7)), "Texas",ISNUMBER(SEARCH("V-AR Blvd:", O7)), "Arkansas",ISNUMBER(SEARCH("V-Maumelle:", O7)), "Arkansas",ISNUMBER(SEARCH("V-Atlanta:", O7)), "Texas",ISNUMBER(SEARCH("VBlanchard:", O7)), "Louisiana",ISNUMBER(SEARCH("V-Bryant:", O7)), "Arkansas",ISNUMBER(SEARCH("V-Choctaw:", O7)), "Oklahoma",ISNUMBER(SEARCH("V-DeQueen:", O7)), "Arkansas",ISNUMBER(SEARCH("V-Longview:", O7)), "Texas",ISNUMBER(SEARCH("V-Marshall:", O7)), "Texas",ISNUMBER(SEARCH("V-MWC:", O7)), "Oklahoma",ISNUMBER(SEARCH("V-Moore:", O7)), "Oklahoma",ISNUMBER(SEARCH("V-MP:", O7)), "Texas",ISNUMBER(SEARCH("V-Edmond:", O7)), "Oklahoma",ISNUMBER(SEARCH("V-Paris:", O7)), "Texas",ISNUMBER(SEARCH("V-RR:", O7)), "Texas",ISNUMBER(SEARCH("V-Sherwood:", O7)), "Arkansas",ISNUMBER(SEARCH("V-WV:", O7)), "Texas",ISNUMBER(SEARCH("HealthCARE Express - Richmond Road", O7)), "Texas",ISNUMBER(SEARCH("HealthCARE Express - Occupational Medicine", O7)), "Texas")</f>
        <v>Texas</v>
      </c>
      <c r="Q7" t="s">
        <v>276</v>
      </c>
      <c r="R7" t="s">
        <v>295</v>
      </c>
      <c r="S7" t="s">
        <v>73</v>
      </c>
      <c r="T7" t="s">
        <v>277</v>
      </c>
      <c r="U7" t="s">
        <v>279</v>
      </c>
      <c r="V7" t="s">
        <v>296</v>
      </c>
      <c r="W7" t="s">
        <v>297</v>
      </c>
      <c r="X7" t="s">
        <v>281</v>
      </c>
      <c r="AI7" t="str">
        <f t="shared" si="0"/>
        <v>Texas/La/DQ/Ark Blvd</v>
      </c>
    </row>
    <row r="8" spans="1:35" x14ac:dyDescent="0.25">
      <c r="A8" t="s">
        <v>80</v>
      </c>
      <c r="B8" t="s">
        <v>81</v>
      </c>
      <c r="C8" t="s">
        <v>82</v>
      </c>
      <c r="D8" t="s">
        <v>83</v>
      </c>
      <c r="E8" t="s">
        <v>73</v>
      </c>
      <c r="F8" t="s">
        <v>19</v>
      </c>
      <c r="G8" t="s">
        <v>84</v>
      </c>
      <c r="H8" t="s">
        <v>22</v>
      </c>
      <c r="I8" t="s">
        <v>22</v>
      </c>
      <c r="J8" t="s">
        <v>22</v>
      </c>
      <c r="K8" t="s">
        <v>84</v>
      </c>
      <c r="L8" t="s">
        <v>85</v>
      </c>
      <c r="M8" t="s">
        <v>86</v>
      </c>
      <c r="N8" t="s">
        <v>87</v>
      </c>
      <c r="O8" t="s">
        <v>298</v>
      </c>
      <c r="P8" t="str" cm="1">
        <f t="array" ref="P8">_xlfn.IFS(ISNUMBER(SEARCH("AEIC:", O8)), "Arkansas",ISNUMBER(SEARCH("STM:", O8)), "Texas",ISNUMBER(SEARCH("BILLING:", O8)), "Texas",ISNUMBER(SEARCH("AM:", O8)), "Texas",ISNUMBER(SEARCH("ARBlvd:", O8)), "Arkansas",ISNUMBER(SEARCH("Atlanta:", O8)), "Texas",ISNUMBER(SEARCH("Blanchard:", O8)), "Louisiana",ISNUMBER(SEARCH("Bryant:", O8)), "Arkansas",ISNUMBER(SEARCH("Choctaw:", O8)), "Oklahoma",ISNUMBER(SEARCH("Choc Allgy:", O8)), "Oklahoma",ISNUMBER(SEARCH("DeQueen:", O8)), "Arkansas",ISNUMBER(SEARCH("Edmond:", O8)), "Oklahoma",ISNUMBER(SEARCH("Edmd Aller:", O8)), "Oklahoma",ISNUMBER(SEARCH("Imaging:", O8)), "Texas",ISNUMBER(SEARCH("Longview:", O8)), "Texas",ISNUMBER(SEARCH("Marshall:", O8)), "Texas",ISNUMBER(SEARCH("Mar Allerg:", O8)), "Texas",ISNUMBER(SEARCH("Maumelle:", O8)), "Arkansas",ISNUMBER(SEARCH("MWC:", O8)), "Oklahoma",ISNUMBER(SEARCH("MWC Allgy:", O8)), "Oklahoma",ISNUMBER(SEARCH("Moore:", O8)), "Oklahoma",ISNUMBER(SEARCH("MooreAllgy:", O8)), "Oklahoma",ISNUMBER(SEARCH("MtPleasant:", O8)), "Texas",ISNUMBER(SEARCH("OccOffsite:", O8)), "Texas",ISNUMBER(SEARCH("Pain Mgmt:", O8)), "Texas",ISNUMBER(SEARCH("Paris:", O8)), "Texas",ISNUMBER(SEARCH("PT:", O8)), "Texas",ISNUMBER(SEARCH("RR Allergy:", O8)), "Texas",ISNUMBER(SEARCH("Sherwood:", O8)), "Arkansas",ISNUMBER(SEARCH("WV:", O8)), "Texas",ISNUMBER(SEARCH("Nur-Home:", O8)), "Texas",ISNUMBER(SEARCH("THC:", O8)), "Texas",ISNUMBER(SEARCH("WVTC:", O8)), "Texas",ISNUMBER(SEARCH("TSC:", O8)), "Texas",ISNUMBER(SEARCH("V-AR Blvd:", O8)), "Arkansas",ISNUMBER(SEARCH("V-Maumelle:", O8)), "Arkansas",ISNUMBER(SEARCH("V-Atlanta:", O8)), "Texas",ISNUMBER(SEARCH("VBlanchard:", O8)), "Louisiana",ISNUMBER(SEARCH("V-Bryant:", O8)), "Arkansas",ISNUMBER(SEARCH("V-Choctaw:", O8)), "Oklahoma",ISNUMBER(SEARCH("V-DeQueen:", O8)), "Arkansas",ISNUMBER(SEARCH("V-Longview:", O8)), "Texas",ISNUMBER(SEARCH("V-Marshall:", O8)), "Texas",ISNUMBER(SEARCH("V-MWC:", O8)), "Oklahoma",ISNUMBER(SEARCH("V-Moore:", O8)), "Oklahoma",ISNUMBER(SEARCH("V-MP:", O8)), "Texas",ISNUMBER(SEARCH("V-Edmond:", O8)), "Oklahoma",ISNUMBER(SEARCH("V-Paris:", O8)), "Texas",ISNUMBER(SEARCH("V-RR:", O8)), "Texas",ISNUMBER(SEARCH("V-Sherwood:", O8)), "Arkansas",ISNUMBER(SEARCH("V-WV:", O8)), "Texas",ISNUMBER(SEARCH("HealthCARE Express - Richmond Road", O8)), "Texas",ISNUMBER(SEARCH("HealthCARE Express - Occupational Medicine", O8)), "Texas")</f>
        <v>Texas</v>
      </c>
      <c r="Q8" t="s">
        <v>276</v>
      </c>
      <c r="R8" t="s">
        <v>295</v>
      </c>
      <c r="S8" t="s">
        <v>73</v>
      </c>
      <c r="T8" t="s">
        <v>277</v>
      </c>
      <c r="U8" t="s">
        <v>285</v>
      </c>
      <c r="V8" t="s">
        <v>299</v>
      </c>
      <c r="W8" t="s">
        <v>281</v>
      </c>
      <c r="X8" t="s">
        <v>300</v>
      </c>
      <c r="Y8" t="s">
        <v>287</v>
      </c>
      <c r="Z8" t="s">
        <v>282</v>
      </c>
      <c r="AI8" t="str">
        <f t="shared" si="0"/>
        <v>Texas/La/DQ/Ark Blvd</v>
      </c>
    </row>
    <row r="9" spans="1:35" x14ac:dyDescent="0.25">
      <c r="A9" t="s">
        <v>88</v>
      </c>
      <c r="B9" t="s">
        <v>81</v>
      </c>
      <c r="C9" t="s">
        <v>89</v>
      </c>
      <c r="D9" t="s">
        <v>90</v>
      </c>
      <c r="E9" t="s">
        <v>73</v>
      </c>
      <c r="F9" t="s">
        <v>19</v>
      </c>
      <c r="G9" t="s">
        <v>91</v>
      </c>
      <c r="H9" t="s">
        <v>22</v>
      </c>
      <c r="I9" t="s">
        <v>22</v>
      </c>
      <c r="J9" t="s">
        <v>22</v>
      </c>
      <c r="K9" t="s">
        <v>91</v>
      </c>
      <c r="L9" t="s">
        <v>92</v>
      </c>
      <c r="M9" t="s">
        <v>93</v>
      </c>
      <c r="N9" t="s">
        <v>90</v>
      </c>
      <c r="O9" t="s">
        <v>301</v>
      </c>
      <c r="P9" t="str" cm="1">
        <f t="array" ref="P9">_xlfn.IFS(ISNUMBER(SEARCH("AEIC:", O9)), "Arkansas",ISNUMBER(SEARCH("STM:", O9)), "Texas",ISNUMBER(SEARCH("BILLING:", O9)), "Texas",ISNUMBER(SEARCH("AM:", O9)), "Texas",ISNUMBER(SEARCH("ARBlvd:", O9)), "Arkansas",ISNUMBER(SEARCH("Atlanta:", O9)), "Texas",ISNUMBER(SEARCH("Blanchard:", O9)), "Louisiana",ISNUMBER(SEARCH("Bryant:", O9)), "Arkansas",ISNUMBER(SEARCH("Choctaw:", O9)), "Oklahoma",ISNUMBER(SEARCH("Choc Allgy:", O9)), "Oklahoma",ISNUMBER(SEARCH("DeQueen:", O9)), "Arkansas",ISNUMBER(SEARCH("Edmond:", O9)), "Oklahoma",ISNUMBER(SEARCH("Edmd Aller:", O9)), "Oklahoma",ISNUMBER(SEARCH("Imaging:", O9)), "Texas",ISNUMBER(SEARCH("Longview:", O9)), "Texas",ISNUMBER(SEARCH("Marshall:", O9)), "Texas",ISNUMBER(SEARCH("Mar Allerg:", O9)), "Texas",ISNUMBER(SEARCH("Maumelle:", O9)), "Arkansas",ISNUMBER(SEARCH("MWC:", O9)), "Oklahoma",ISNUMBER(SEARCH("MWC Allgy:", O9)), "Oklahoma",ISNUMBER(SEARCH("Moore:", O9)), "Oklahoma",ISNUMBER(SEARCH("MooreAllgy:", O9)), "Oklahoma",ISNUMBER(SEARCH("MtPleasant:", O9)), "Texas",ISNUMBER(SEARCH("OccOffsite:", O9)), "Texas",ISNUMBER(SEARCH("Pain Mgmt:", O9)), "Texas",ISNUMBER(SEARCH("Paris:", O9)), "Texas",ISNUMBER(SEARCH("PT:", O9)), "Texas",ISNUMBER(SEARCH("RR Allergy:", O9)), "Texas",ISNUMBER(SEARCH("Sherwood:", O9)), "Arkansas",ISNUMBER(SEARCH("WV:", O9)), "Texas",ISNUMBER(SEARCH("Nur-Home:", O9)), "Texas",ISNUMBER(SEARCH("THC:", O9)), "Texas",ISNUMBER(SEARCH("WVTC:", O9)), "Texas",ISNUMBER(SEARCH("TSC:", O9)), "Texas",ISNUMBER(SEARCH("V-AR Blvd:", O9)), "Arkansas",ISNUMBER(SEARCH("V-Maumelle:", O9)), "Arkansas",ISNUMBER(SEARCH("V-Atlanta:", O9)), "Texas",ISNUMBER(SEARCH("VBlanchard:", O9)), "Louisiana",ISNUMBER(SEARCH("V-Bryant:", O9)), "Arkansas",ISNUMBER(SEARCH("V-Choctaw:", O9)), "Oklahoma",ISNUMBER(SEARCH("V-DeQueen:", O9)), "Arkansas",ISNUMBER(SEARCH("V-Longview:", O9)), "Texas",ISNUMBER(SEARCH("V-Marshall:", O9)), "Texas",ISNUMBER(SEARCH("V-MWC:", O9)), "Oklahoma",ISNUMBER(SEARCH("V-Moore:", O9)), "Oklahoma",ISNUMBER(SEARCH("V-MP:", O9)), "Texas",ISNUMBER(SEARCH("V-Edmond:", O9)), "Oklahoma",ISNUMBER(SEARCH("V-Paris:", O9)), "Texas",ISNUMBER(SEARCH("V-RR:", O9)), "Texas",ISNUMBER(SEARCH("V-Sherwood:", O9)), "Arkansas",ISNUMBER(SEARCH("V-WV:", O9)), "Texas",ISNUMBER(SEARCH("HealthCARE Express - Richmond Road", O9)), "Texas",ISNUMBER(SEARCH("HealthCARE Express - Occupational Medicine", O9)), "Texas")</f>
        <v>Arkansas</v>
      </c>
      <c r="Q9" t="s">
        <v>276</v>
      </c>
      <c r="R9" t="s">
        <v>295</v>
      </c>
      <c r="S9" t="s">
        <v>73</v>
      </c>
      <c r="T9" t="s">
        <v>302</v>
      </c>
      <c r="U9" t="s">
        <v>285</v>
      </c>
      <c r="V9" t="s">
        <v>280</v>
      </c>
      <c r="AI9" t="str">
        <f t="shared" si="0"/>
        <v>Little Rock Region</v>
      </c>
    </row>
    <row r="10" spans="1:35" x14ac:dyDescent="0.25">
      <c r="A10" t="s">
        <v>94</v>
      </c>
      <c r="B10" t="s">
        <v>95</v>
      </c>
      <c r="C10" t="s">
        <v>96</v>
      </c>
      <c r="D10" t="s">
        <v>97</v>
      </c>
      <c r="E10" t="s">
        <v>73</v>
      </c>
      <c r="F10" t="s">
        <v>19</v>
      </c>
      <c r="G10" t="s">
        <v>98</v>
      </c>
      <c r="H10" t="s">
        <v>99</v>
      </c>
      <c r="I10" t="s">
        <v>22</v>
      </c>
      <c r="J10" t="s">
        <v>22</v>
      </c>
      <c r="K10" t="s">
        <v>100</v>
      </c>
      <c r="L10" t="s">
        <v>101</v>
      </c>
      <c r="M10" t="s">
        <v>102</v>
      </c>
      <c r="N10" t="s">
        <v>97</v>
      </c>
      <c r="O10" t="s">
        <v>288</v>
      </c>
      <c r="P10" t="str" cm="1">
        <f t="array" ref="P10">_xlfn.IFS(ISNUMBER(SEARCH("AEIC:", O10)), "Arkansas",ISNUMBER(SEARCH("STM:", O10)), "Texas",ISNUMBER(SEARCH("BILLING:", O10)), "Texas",ISNUMBER(SEARCH("AM:", O10)), "Texas",ISNUMBER(SEARCH("ARBlvd:", O10)), "Arkansas",ISNUMBER(SEARCH("Atlanta:", O10)), "Texas",ISNUMBER(SEARCH("Blanchard:", O10)), "Louisiana",ISNUMBER(SEARCH("Bryant:", O10)), "Arkansas",ISNUMBER(SEARCH("Choctaw:", O10)), "Oklahoma",ISNUMBER(SEARCH("Choc Allgy:", O10)), "Oklahoma",ISNUMBER(SEARCH("DeQueen:", O10)), "Arkansas",ISNUMBER(SEARCH("Edmond:", O10)), "Oklahoma",ISNUMBER(SEARCH("Edmd Aller:", O10)), "Oklahoma",ISNUMBER(SEARCH("Imaging:", O10)), "Texas",ISNUMBER(SEARCH("Longview:", O10)), "Texas",ISNUMBER(SEARCH("Marshall:", O10)), "Texas",ISNUMBER(SEARCH("Mar Allerg:", O10)), "Texas",ISNUMBER(SEARCH("Maumelle:", O10)), "Arkansas",ISNUMBER(SEARCH("MWC:", O10)), "Oklahoma",ISNUMBER(SEARCH("MWC Allgy:", O10)), "Oklahoma",ISNUMBER(SEARCH("Moore:", O10)), "Oklahoma",ISNUMBER(SEARCH("MooreAllgy:", O10)), "Oklahoma",ISNUMBER(SEARCH("MtPleasant:", O10)), "Texas",ISNUMBER(SEARCH("OccOffsite:", O10)), "Texas",ISNUMBER(SEARCH("Pain Mgmt:", O10)), "Texas",ISNUMBER(SEARCH("Paris:", O10)), "Texas",ISNUMBER(SEARCH("PT:", O10)), "Texas",ISNUMBER(SEARCH("RR Allergy:", O10)), "Texas",ISNUMBER(SEARCH("Sherwood:", O10)), "Arkansas",ISNUMBER(SEARCH("WV:", O10)), "Texas",ISNUMBER(SEARCH("Nur-Home:", O10)), "Texas",ISNUMBER(SEARCH("THC:", O10)), "Texas",ISNUMBER(SEARCH("WVTC:", O10)), "Texas",ISNUMBER(SEARCH("TSC:", O10)), "Texas",ISNUMBER(SEARCH("V-AR Blvd:", O10)), "Arkansas",ISNUMBER(SEARCH("V-Maumelle:", O10)), "Arkansas",ISNUMBER(SEARCH("V-Atlanta:", O10)), "Texas",ISNUMBER(SEARCH("VBlanchard:", O10)), "Louisiana",ISNUMBER(SEARCH("V-Bryant:", O10)), "Arkansas",ISNUMBER(SEARCH("V-Choctaw:", O10)), "Oklahoma",ISNUMBER(SEARCH("V-DeQueen:", O10)), "Arkansas",ISNUMBER(SEARCH("V-Longview:", O10)), "Texas",ISNUMBER(SEARCH("V-Marshall:", O10)), "Texas",ISNUMBER(SEARCH("V-MWC:", O10)), "Oklahoma",ISNUMBER(SEARCH("V-Moore:", O10)), "Oklahoma",ISNUMBER(SEARCH("V-MP:", O10)), "Texas",ISNUMBER(SEARCH("V-Edmond:", O10)), "Oklahoma",ISNUMBER(SEARCH("V-Paris:", O10)), "Texas",ISNUMBER(SEARCH("V-RR:", O10)), "Texas",ISNUMBER(SEARCH("V-Sherwood:", O10)), "Arkansas",ISNUMBER(SEARCH("V-WV:", O10)), "Texas",ISNUMBER(SEARCH("HealthCARE Express - Richmond Road", O10)), "Texas",ISNUMBER(SEARCH("HealthCARE Express - Occupational Medicine", O10)), "Texas")</f>
        <v>Arkansas</v>
      </c>
      <c r="Q10" t="s">
        <v>276</v>
      </c>
      <c r="R10" t="s">
        <v>295</v>
      </c>
      <c r="S10" t="s">
        <v>73</v>
      </c>
      <c r="T10" t="s">
        <v>277</v>
      </c>
      <c r="U10" t="s">
        <v>285</v>
      </c>
      <c r="V10" t="s">
        <v>279</v>
      </c>
      <c r="W10" t="s">
        <v>280</v>
      </c>
      <c r="AI10" t="str">
        <f t="shared" si="0"/>
        <v>Little Rock Region</v>
      </c>
    </row>
    <row r="11" spans="1:35" x14ac:dyDescent="0.25">
      <c r="A11" t="s">
        <v>103</v>
      </c>
      <c r="B11" t="s">
        <v>104</v>
      </c>
      <c r="C11" t="s">
        <v>105</v>
      </c>
      <c r="D11" t="s">
        <v>106</v>
      </c>
      <c r="E11" t="s">
        <v>107</v>
      </c>
      <c r="F11" t="s">
        <v>19</v>
      </c>
      <c r="G11" t="s">
        <v>31</v>
      </c>
      <c r="H11" t="s">
        <v>22</v>
      </c>
      <c r="I11" t="s">
        <v>22</v>
      </c>
      <c r="J11" t="s">
        <v>22</v>
      </c>
      <c r="K11" t="s">
        <v>31</v>
      </c>
      <c r="L11" t="s">
        <v>108</v>
      </c>
      <c r="M11" t="s">
        <v>109</v>
      </c>
      <c r="N11" t="s">
        <v>110</v>
      </c>
      <c r="O11" t="s">
        <v>303</v>
      </c>
      <c r="P11" t="str" cm="1">
        <f t="array" ref="P11">_xlfn.IFS(ISNUMBER(SEARCH("AEIC:", O11)), "Arkansas",ISNUMBER(SEARCH("STM:", O11)), "Texas",ISNUMBER(SEARCH("BILLING:", O11)), "Texas",ISNUMBER(SEARCH("AM:", O11)), "Texas",ISNUMBER(SEARCH("ARBlvd:", O11)), "Arkansas",ISNUMBER(SEARCH("Atlanta:", O11)), "Texas",ISNUMBER(SEARCH("Blanchard:", O11)), "Louisiana",ISNUMBER(SEARCH("Bryant:", O11)), "Arkansas",ISNUMBER(SEARCH("Choctaw:", O11)), "Oklahoma",ISNUMBER(SEARCH("Choc Allgy:", O11)), "Oklahoma",ISNUMBER(SEARCH("DeQueen:", O11)), "Arkansas",ISNUMBER(SEARCH("Edmond:", O11)), "Oklahoma",ISNUMBER(SEARCH("Edmd Aller:", O11)), "Oklahoma",ISNUMBER(SEARCH("Imaging:", O11)), "Texas",ISNUMBER(SEARCH("Longview:", O11)), "Texas",ISNUMBER(SEARCH("Marshall:", O11)), "Texas",ISNUMBER(SEARCH("Mar Allerg:", O11)), "Texas",ISNUMBER(SEARCH("Maumelle:", O11)), "Arkansas",ISNUMBER(SEARCH("MWC:", O11)), "Oklahoma",ISNUMBER(SEARCH("MWC Allgy:", O11)), "Oklahoma",ISNUMBER(SEARCH("Moore:", O11)), "Oklahoma",ISNUMBER(SEARCH("MooreAllgy:", O11)), "Oklahoma",ISNUMBER(SEARCH("MtPleasant:", O11)), "Texas",ISNUMBER(SEARCH("OccOffsite:", O11)), "Texas",ISNUMBER(SEARCH("Pain Mgmt:", O11)), "Texas",ISNUMBER(SEARCH("Paris:", O11)), "Texas",ISNUMBER(SEARCH("PT:", O11)), "Texas",ISNUMBER(SEARCH("RR Allergy:", O11)), "Texas",ISNUMBER(SEARCH("Sherwood:", O11)), "Arkansas",ISNUMBER(SEARCH("WV:", O11)), "Texas",ISNUMBER(SEARCH("Nur-Home:", O11)), "Texas",ISNUMBER(SEARCH("THC:", O11)), "Texas",ISNUMBER(SEARCH("WVTC:", O11)), "Texas",ISNUMBER(SEARCH("TSC:", O11)), "Texas",ISNUMBER(SEARCH("V-AR Blvd:", O11)), "Arkansas",ISNUMBER(SEARCH("V-Maumelle:", O11)), "Arkansas",ISNUMBER(SEARCH("V-Atlanta:", O11)), "Texas",ISNUMBER(SEARCH("VBlanchard:", O11)), "Louisiana",ISNUMBER(SEARCH("V-Bryant:", O11)), "Arkansas",ISNUMBER(SEARCH("V-Choctaw:", O11)), "Oklahoma",ISNUMBER(SEARCH("V-DeQueen:", O11)), "Arkansas",ISNUMBER(SEARCH("V-Longview:", O11)), "Texas",ISNUMBER(SEARCH("V-Marshall:", O11)), "Texas",ISNUMBER(SEARCH("V-MWC:", O11)), "Oklahoma",ISNUMBER(SEARCH("V-Moore:", O11)), "Oklahoma",ISNUMBER(SEARCH("V-MP:", O11)), "Texas",ISNUMBER(SEARCH("V-Edmond:", O11)), "Oklahoma",ISNUMBER(SEARCH("V-Paris:", O11)), "Texas",ISNUMBER(SEARCH("V-RR:", O11)), "Texas",ISNUMBER(SEARCH("V-Sherwood:", O11)), "Arkansas",ISNUMBER(SEARCH("V-WV:", O11)), "Texas",ISNUMBER(SEARCH("HealthCARE Express - Richmond Road", O11)), "Texas",ISNUMBER(SEARCH("HealthCARE Express - Occupational Medicine", O11)), "Texas")</f>
        <v>Oklahoma</v>
      </c>
      <c r="Q11" t="s">
        <v>276</v>
      </c>
      <c r="R11" t="s">
        <v>289</v>
      </c>
      <c r="S11" t="s">
        <v>107</v>
      </c>
      <c r="T11" t="s">
        <v>302</v>
      </c>
      <c r="U11" t="s">
        <v>285</v>
      </c>
      <c r="V11" t="s">
        <v>291</v>
      </c>
      <c r="W11" t="s">
        <v>304</v>
      </c>
      <c r="AI11" t="str">
        <f t="shared" si="0"/>
        <v>-</v>
      </c>
    </row>
    <row r="12" spans="1:35" x14ac:dyDescent="0.25">
      <c r="A12" t="s">
        <v>111</v>
      </c>
      <c r="B12" t="s">
        <v>112</v>
      </c>
      <c r="C12" t="s">
        <v>113</v>
      </c>
      <c r="D12" t="s">
        <v>114</v>
      </c>
      <c r="E12" t="s">
        <v>115</v>
      </c>
      <c r="F12" t="s">
        <v>19</v>
      </c>
      <c r="G12" t="s">
        <v>116</v>
      </c>
      <c r="H12" t="s">
        <v>22</v>
      </c>
      <c r="I12" t="s">
        <v>22</v>
      </c>
      <c r="J12" t="s">
        <v>22</v>
      </c>
      <c r="K12" t="s">
        <v>116</v>
      </c>
      <c r="L12" t="s">
        <v>117</v>
      </c>
      <c r="M12" t="s">
        <v>118</v>
      </c>
      <c r="N12" t="s">
        <v>119</v>
      </c>
      <c r="O12" t="s">
        <v>292</v>
      </c>
      <c r="P12" t="str" cm="1">
        <f t="array" ref="P12">_xlfn.IFS(ISNUMBER(SEARCH("AEIC:", O12)), "Arkansas",ISNUMBER(SEARCH("STM:", O12)), "Texas",ISNUMBER(SEARCH("BILLING:", O12)), "Texas",ISNUMBER(SEARCH("AM:", O12)), "Texas",ISNUMBER(SEARCH("ARBlvd:", O12)), "Arkansas",ISNUMBER(SEARCH("Atlanta:", O12)), "Texas",ISNUMBER(SEARCH("Blanchard:", O12)), "Louisiana",ISNUMBER(SEARCH("Bryant:", O12)), "Arkansas",ISNUMBER(SEARCH("Choctaw:", O12)), "Oklahoma",ISNUMBER(SEARCH("Choc Allgy:", O12)), "Oklahoma",ISNUMBER(SEARCH("DeQueen:", O12)), "Arkansas",ISNUMBER(SEARCH("Edmond:", O12)), "Oklahoma",ISNUMBER(SEARCH("Edmd Aller:", O12)), "Oklahoma",ISNUMBER(SEARCH("Imaging:", O12)), "Texas",ISNUMBER(SEARCH("Longview:", O12)), "Texas",ISNUMBER(SEARCH("Marshall:", O12)), "Texas",ISNUMBER(SEARCH("Mar Allerg:", O12)), "Texas",ISNUMBER(SEARCH("Maumelle:", O12)), "Arkansas",ISNUMBER(SEARCH("MWC:", O12)), "Oklahoma",ISNUMBER(SEARCH("MWC Allgy:", O12)), "Oklahoma",ISNUMBER(SEARCH("Moore:", O12)), "Oklahoma",ISNUMBER(SEARCH("MooreAllgy:", O12)), "Oklahoma",ISNUMBER(SEARCH("MtPleasant:", O12)), "Texas",ISNUMBER(SEARCH("OccOffsite:", O12)), "Texas",ISNUMBER(SEARCH("Pain Mgmt:", O12)), "Texas",ISNUMBER(SEARCH("Paris:", O12)), "Texas",ISNUMBER(SEARCH("PT:", O12)), "Texas",ISNUMBER(SEARCH("RR Allergy:", O12)), "Texas",ISNUMBER(SEARCH("Sherwood:", O12)), "Arkansas",ISNUMBER(SEARCH("WV:", O12)), "Texas",ISNUMBER(SEARCH("Nur-Home:", O12)), "Texas",ISNUMBER(SEARCH("THC:", O12)), "Texas",ISNUMBER(SEARCH("WVTC:", O12)), "Texas",ISNUMBER(SEARCH("TSC:", O12)), "Texas",ISNUMBER(SEARCH("V-AR Blvd:", O12)), "Arkansas",ISNUMBER(SEARCH("V-Maumelle:", O12)), "Arkansas",ISNUMBER(SEARCH("V-Atlanta:", O12)), "Texas",ISNUMBER(SEARCH("VBlanchard:", O12)), "Louisiana",ISNUMBER(SEARCH("V-Bryant:", O12)), "Arkansas",ISNUMBER(SEARCH("V-Choctaw:", O12)), "Oklahoma",ISNUMBER(SEARCH("V-DeQueen:", O12)), "Arkansas",ISNUMBER(SEARCH("V-Longview:", O12)), "Texas",ISNUMBER(SEARCH("V-Marshall:", O12)), "Texas",ISNUMBER(SEARCH("V-MWC:", O12)), "Oklahoma",ISNUMBER(SEARCH("V-Moore:", O12)), "Oklahoma",ISNUMBER(SEARCH("V-MP:", O12)), "Texas",ISNUMBER(SEARCH("V-Edmond:", O12)), "Oklahoma",ISNUMBER(SEARCH("V-Paris:", O12)), "Texas",ISNUMBER(SEARCH("V-RR:", O12)), "Texas",ISNUMBER(SEARCH("V-Sherwood:", O12)), "Arkansas",ISNUMBER(SEARCH("V-WV:", O12)), "Texas",ISNUMBER(SEARCH("HealthCARE Express - Richmond Road", O12)), "Texas",ISNUMBER(SEARCH("HealthCARE Express - Occupational Medicine", O12)), "Texas")</f>
        <v>Arkansas</v>
      </c>
      <c r="Q12" t="s">
        <v>276</v>
      </c>
      <c r="R12" t="s">
        <v>305</v>
      </c>
      <c r="S12" t="s">
        <v>115</v>
      </c>
      <c r="T12" t="s">
        <v>302</v>
      </c>
      <c r="U12" t="s">
        <v>285</v>
      </c>
      <c r="V12" t="s">
        <v>300</v>
      </c>
      <c r="W12" t="s">
        <v>304</v>
      </c>
      <c r="X12" t="s">
        <v>306</v>
      </c>
      <c r="AI12" t="str">
        <f t="shared" si="0"/>
        <v>Texas/La/DQ/Ark Blvd</v>
      </c>
    </row>
    <row r="13" spans="1:35" x14ac:dyDescent="0.25">
      <c r="A13" t="s">
        <v>120</v>
      </c>
      <c r="B13" t="s">
        <v>121</v>
      </c>
      <c r="C13" t="s">
        <v>113</v>
      </c>
      <c r="D13" t="s">
        <v>122</v>
      </c>
      <c r="E13" t="s">
        <v>73</v>
      </c>
      <c r="F13" t="s">
        <v>19</v>
      </c>
      <c r="G13" t="s">
        <v>123</v>
      </c>
      <c r="H13" t="s">
        <v>32</v>
      </c>
      <c r="I13" t="s">
        <v>22</v>
      </c>
      <c r="J13" t="s">
        <v>22</v>
      </c>
      <c r="K13" t="s">
        <v>124</v>
      </c>
      <c r="L13" t="s">
        <v>125</v>
      </c>
      <c r="M13" t="s">
        <v>118</v>
      </c>
      <c r="N13" t="s">
        <v>122</v>
      </c>
      <c r="O13" t="s">
        <v>307</v>
      </c>
      <c r="P13" t="str" cm="1">
        <f t="array" ref="P13">_xlfn.IFS(ISNUMBER(SEARCH("AEIC:", O13)), "Arkansas",ISNUMBER(SEARCH("STM:", O13)), "Texas",ISNUMBER(SEARCH("BILLING:", O13)), "Texas",ISNUMBER(SEARCH("AM:", O13)), "Texas",ISNUMBER(SEARCH("ARBlvd:", O13)), "Arkansas",ISNUMBER(SEARCH("Atlanta:", O13)), "Texas",ISNUMBER(SEARCH("Blanchard:", O13)), "Louisiana",ISNUMBER(SEARCH("Bryant:", O13)), "Arkansas",ISNUMBER(SEARCH("Choctaw:", O13)), "Oklahoma",ISNUMBER(SEARCH("Choc Allgy:", O13)), "Oklahoma",ISNUMBER(SEARCH("DeQueen:", O13)), "Arkansas",ISNUMBER(SEARCH("Edmond:", O13)), "Oklahoma",ISNUMBER(SEARCH("Edmd Aller:", O13)), "Oklahoma",ISNUMBER(SEARCH("Imaging:", O13)), "Texas",ISNUMBER(SEARCH("Longview:", O13)), "Texas",ISNUMBER(SEARCH("Marshall:", O13)), "Texas",ISNUMBER(SEARCH("Mar Allerg:", O13)), "Texas",ISNUMBER(SEARCH("Maumelle:", O13)), "Arkansas",ISNUMBER(SEARCH("MWC:", O13)), "Oklahoma",ISNUMBER(SEARCH("MWC Allgy:", O13)), "Oklahoma",ISNUMBER(SEARCH("Moore:", O13)), "Oklahoma",ISNUMBER(SEARCH("MooreAllgy:", O13)), "Oklahoma",ISNUMBER(SEARCH("MtPleasant:", O13)), "Texas",ISNUMBER(SEARCH("OccOffsite:", O13)), "Texas",ISNUMBER(SEARCH("Pain Mgmt:", O13)), "Texas",ISNUMBER(SEARCH("Paris:", O13)), "Texas",ISNUMBER(SEARCH("PT:", O13)), "Texas",ISNUMBER(SEARCH("RR Allergy:", O13)), "Texas",ISNUMBER(SEARCH("Sherwood:", O13)), "Arkansas",ISNUMBER(SEARCH("WV:", O13)), "Texas",ISNUMBER(SEARCH("Nur-Home:", O13)), "Texas",ISNUMBER(SEARCH("THC:", O13)), "Texas",ISNUMBER(SEARCH("WVTC:", O13)), "Texas",ISNUMBER(SEARCH("TSC:", O13)), "Texas",ISNUMBER(SEARCH("V-AR Blvd:", O13)), "Arkansas",ISNUMBER(SEARCH("V-Maumelle:", O13)), "Arkansas",ISNUMBER(SEARCH("V-Atlanta:", O13)), "Texas",ISNUMBER(SEARCH("VBlanchard:", O13)), "Louisiana",ISNUMBER(SEARCH("V-Bryant:", O13)), "Arkansas",ISNUMBER(SEARCH("V-Choctaw:", O13)), "Oklahoma",ISNUMBER(SEARCH("V-DeQueen:", O13)), "Arkansas",ISNUMBER(SEARCH("V-Longview:", O13)), "Texas",ISNUMBER(SEARCH("V-Marshall:", O13)), "Texas",ISNUMBER(SEARCH("V-MWC:", O13)), "Oklahoma",ISNUMBER(SEARCH("V-Moore:", O13)), "Oklahoma",ISNUMBER(SEARCH("V-MP:", O13)), "Texas",ISNUMBER(SEARCH("V-Edmond:", O13)), "Oklahoma",ISNUMBER(SEARCH("V-Paris:", O13)), "Texas",ISNUMBER(SEARCH("V-RR:", O13)), "Texas",ISNUMBER(SEARCH("V-Sherwood:", O13)), "Arkansas",ISNUMBER(SEARCH("V-WV:", O13)), "Texas",ISNUMBER(SEARCH("HealthCARE Express - Richmond Road", O13)), "Texas",ISNUMBER(SEARCH("HealthCARE Express - Occupational Medicine", O13)), "Texas")</f>
        <v>Texas</v>
      </c>
      <c r="Q13" t="s">
        <v>308</v>
      </c>
      <c r="R13" t="s">
        <v>295</v>
      </c>
      <c r="S13" t="s">
        <v>73</v>
      </c>
      <c r="T13" t="s">
        <v>302</v>
      </c>
      <c r="U13" t="s">
        <v>309</v>
      </c>
      <c r="V13" t="s">
        <v>299</v>
      </c>
      <c r="W13" t="s">
        <v>281</v>
      </c>
      <c r="X13" t="s">
        <v>281</v>
      </c>
      <c r="Y13" t="s">
        <v>304</v>
      </c>
      <c r="Z13" t="s">
        <v>282</v>
      </c>
      <c r="AI13" t="str">
        <f t="shared" si="0"/>
        <v>Texas/La/DQ/Ark Blvd</v>
      </c>
    </row>
    <row r="14" spans="1:35" x14ac:dyDescent="0.25">
      <c r="A14" t="s">
        <v>126</v>
      </c>
      <c r="B14" t="s">
        <v>127</v>
      </c>
      <c r="C14" t="s">
        <v>128</v>
      </c>
      <c r="D14" t="s">
        <v>129</v>
      </c>
      <c r="E14" t="s">
        <v>130</v>
      </c>
      <c r="F14" t="s">
        <v>19</v>
      </c>
      <c r="G14" t="s">
        <v>131</v>
      </c>
      <c r="H14" t="s">
        <v>22</v>
      </c>
      <c r="I14" t="s">
        <v>22</v>
      </c>
      <c r="J14" t="s">
        <v>22</v>
      </c>
      <c r="K14" t="s">
        <v>131</v>
      </c>
      <c r="L14" t="s">
        <v>132</v>
      </c>
      <c r="M14" t="s">
        <v>133</v>
      </c>
      <c r="N14" t="s">
        <v>134</v>
      </c>
      <c r="O14" t="s">
        <v>310</v>
      </c>
      <c r="P14" t="str" cm="1">
        <f t="array" ref="P14">_xlfn.IFS(ISNUMBER(SEARCH("AEIC:", O14)), "Arkansas",ISNUMBER(SEARCH("STM:", O14)), "Texas",ISNUMBER(SEARCH("BILLING:", O14)), "Texas",ISNUMBER(SEARCH("AM:", O14)), "Texas",ISNUMBER(SEARCH("ARBlvd:", O14)), "Arkansas",ISNUMBER(SEARCH("Atlanta:", O14)), "Texas",ISNUMBER(SEARCH("Blanchard:", O14)), "Louisiana",ISNUMBER(SEARCH("Bryant:", O14)), "Arkansas",ISNUMBER(SEARCH("Choctaw:", O14)), "Oklahoma",ISNUMBER(SEARCH("Choc Allgy:", O14)), "Oklahoma",ISNUMBER(SEARCH("DeQueen:", O14)), "Arkansas",ISNUMBER(SEARCH("Edmond:", O14)), "Oklahoma",ISNUMBER(SEARCH("Edmd Aller:", O14)), "Oklahoma",ISNUMBER(SEARCH("Imaging:", O14)), "Texas",ISNUMBER(SEARCH("Longview:", O14)), "Texas",ISNUMBER(SEARCH("Marshall:", O14)), "Texas",ISNUMBER(SEARCH("Mar Allerg:", O14)), "Texas",ISNUMBER(SEARCH("Maumelle:", O14)), "Arkansas",ISNUMBER(SEARCH("MWC:", O14)), "Oklahoma",ISNUMBER(SEARCH("MWC Allgy:", O14)), "Oklahoma",ISNUMBER(SEARCH("Moore:", O14)), "Oklahoma",ISNUMBER(SEARCH("MooreAllgy:", O14)), "Oklahoma",ISNUMBER(SEARCH("MtPleasant:", O14)), "Texas",ISNUMBER(SEARCH("OccOffsite:", O14)), "Texas",ISNUMBER(SEARCH("Pain Mgmt:", O14)), "Texas",ISNUMBER(SEARCH("Paris:", O14)), "Texas",ISNUMBER(SEARCH("PT:", O14)), "Texas",ISNUMBER(SEARCH("RR Allergy:", O14)), "Texas",ISNUMBER(SEARCH("Sherwood:", O14)), "Arkansas",ISNUMBER(SEARCH("WV:", O14)), "Texas",ISNUMBER(SEARCH("Nur-Home:", O14)), "Texas",ISNUMBER(SEARCH("THC:", O14)), "Texas",ISNUMBER(SEARCH("WVTC:", O14)), "Texas",ISNUMBER(SEARCH("TSC:", O14)), "Texas",ISNUMBER(SEARCH("V-AR Blvd:", O14)), "Arkansas",ISNUMBER(SEARCH("V-Maumelle:", O14)), "Arkansas",ISNUMBER(SEARCH("V-Atlanta:", O14)), "Texas",ISNUMBER(SEARCH("VBlanchard:", O14)), "Louisiana",ISNUMBER(SEARCH("V-Bryant:", O14)), "Arkansas",ISNUMBER(SEARCH("V-Choctaw:", O14)), "Oklahoma",ISNUMBER(SEARCH("V-DeQueen:", O14)), "Arkansas",ISNUMBER(SEARCH("V-Longview:", O14)), "Texas",ISNUMBER(SEARCH("V-Marshall:", O14)), "Texas",ISNUMBER(SEARCH("V-MWC:", O14)), "Oklahoma",ISNUMBER(SEARCH("V-Moore:", O14)), "Oklahoma",ISNUMBER(SEARCH("V-MP:", O14)), "Texas",ISNUMBER(SEARCH("V-Edmond:", O14)), "Oklahoma",ISNUMBER(SEARCH("V-Paris:", O14)), "Texas",ISNUMBER(SEARCH("V-RR:", O14)), "Texas",ISNUMBER(SEARCH("V-Sherwood:", O14)), "Arkansas",ISNUMBER(SEARCH("V-WV:", O14)), "Texas",ISNUMBER(SEARCH("HealthCARE Express - Richmond Road", O14)), "Texas",ISNUMBER(SEARCH("HealthCARE Express - Occupational Medicine", O14)), "Texas")</f>
        <v>Texas</v>
      </c>
      <c r="Q14" t="s">
        <v>276</v>
      </c>
      <c r="R14" t="s">
        <v>293</v>
      </c>
      <c r="S14" t="s">
        <v>130</v>
      </c>
      <c r="T14" t="s">
        <v>277</v>
      </c>
      <c r="U14" t="s">
        <v>285</v>
      </c>
      <c r="V14" t="s">
        <v>309</v>
      </c>
      <c r="W14" t="s">
        <v>299</v>
      </c>
      <c r="X14" t="s">
        <v>281</v>
      </c>
      <c r="Y14" t="s">
        <v>280</v>
      </c>
      <c r="Z14" t="s">
        <v>304</v>
      </c>
      <c r="AA14" t="s">
        <v>282</v>
      </c>
      <c r="AI14" t="str">
        <f t="shared" si="0"/>
        <v>Texas/La/DQ/Ark Blvd</v>
      </c>
    </row>
    <row r="15" spans="1:35" x14ac:dyDescent="0.25">
      <c r="A15" t="s">
        <v>135</v>
      </c>
      <c r="B15" t="s">
        <v>136</v>
      </c>
      <c r="C15" t="s">
        <v>137</v>
      </c>
      <c r="D15" t="s">
        <v>138</v>
      </c>
      <c r="E15" t="s">
        <v>139</v>
      </c>
      <c r="F15" t="s">
        <v>19</v>
      </c>
      <c r="G15" t="s">
        <v>140</v>
      </c>
      <c r="H15" t="s">
        <v>141</v>
      </c>
      <c r="I15" t="s">
        <v>22</v>
      </c>
      <c r="J15" t="s">
        <v>22</v>
      </c>
      <c r="K15" t="s">
        <v>142</v>
      </c>
      <c r="L15" t="s">
        <v>143</v>
      </c>
      <c r="M15" t="s">
        <v>144</v>
      </c>
      <c r="N15" t="s">
        <v>145</v>
      </c>
      <c r="O15" t="s">
        <v>303</v>
      </c>
      <c r="P15" t="str" cm="1">
        <f t="array" ref="P15">_xlfn.IFS(ISNUMBER(SEARCH("AEIC:", O15)), "Arkansas",ISNUMBER(SEARCH("STM:", O15)), "Texas",ISNUMBER(SEARCH("BILLING:", O15)), "Texas",ISNUMBER(SEARCH("AM:", O15)), "Texas",ISNUMBER(SEARCH("ARBlvd:", O15)), "Arkansas",ISNUMBER(SEARCH("Atlanta:", O15)), "Texas",ISNUMBER(SEARCH("Blanchard:", O15)), "Louisiana",ISNUMBER(SEARCH("Bryant:", O15)), "Arkansas",ISNUMBER(SEARCH("Choctaw:", O15)), "Oklahoma",ISNUMBER(SEARCH("Choc Allgy:", O15)), "Oklahoma",ISNUMBER(SEARCH("DeQueen:", O15)), "Arkansas",ISNUMBER(SEARCH("Edmond:", O15)), "Oklahoma",ISNUMBER(SEARCH("Edmd Aller:", O15)), "Oklahoma",ISNUMBER(SEARCH("Imaging:", O15)), "Texas",ISNUMBER(SEARCH("Longview:", O15)), "Texas",ISNUMBER(SEARCH("Marshall:", O15)), "Texas",ISNUMBER(SEARCH("Mar Allerg:", O15)), "Texas",ISNUMBER(SEARCH("Maumelle:", O15)), "Arkansas",ISNUMBER(SEARCH("MWC:", O15)), "Oklahoma",ISNUMBER(SEARCH("MWC Allgy:", O15)), "Oklahoma",ISNUMBER(SEARCH("Moore:", O15)), "Oklahoma",ISNUMBER(SEARCH("MooreAllgy:", O15)), "Oklahoma",ISNUMBER(SEARCH("MtPleasant:", O15)), "Texas",ISNUMBER(SEARCH("OccOffsite:", O15)), "Texas",ISNUMBER(SEARCH("Pain Mgmt:", O15)), "Texas",ISNUMBER(SEARCH("Paris:", O15)), "Texas",ISNUMBER(SEARCH("PT:", O15)), "Texas",ISNUMBER(SEARCH("RR Allergy:", O15)), "Texas",ISNUMBER(SEARCH("Sherwood:", O15)), "Arkansas",ISNUMBER(SEARCH("WV:", O15)), "Texas",ISNUMBER(SEARCH("Nur-Home:", O15)), "Texas",ISNUMBER(SEARCH("THC:", O15)), "Texas",ISNUMBER(SEARCH("WVTC:", O15)), "Texas",ISNUMBER(SEARCH("TSC:", O15)), "Texas",ISNUMBER(SEARCH("V-AR Blvd:", O15)), "Arkansas",ISNUMBER(SEARCH("V-Maumelle:", O15)), "Arkansas",ISNUMBER(SEARCH("V-Atlanta:", O15)), "Texas",ISNUMBER(SEARCH("VBlanchard:", O15)), "Louisiana",ISNUMBER(SEARCH("V-Bryant:", O15)), "Arkansas",ISNUMBER(SEARCH("V-Choctaw:", O15)), "Oklahoma",ISNUMBER(SEARCH("V-DeQueen:", O15)), "Arkansas",ISNUMBER(SEARCH("V-Longview:", O15)), "Texas",ISNUMBER(SEARCH("V-Marshall:", O15)), "Texas",ISNUMBER(SEARCH("V-MWC:", O15)), "Oklahoma",ISNUMBER(SEARCH("V-Moore:", O15)), "Oklahoma",ISNUMBER(SEARCH("V-MP:", O15)), "Texas",ISNUMBER(SEARCH("V-Edmond:", O15)), "Oklahoma",ISNUMBER(SEARCH("V-Paris:", O15)), "Texas",ISNUMBER(SEARCH("V-RR:", O15)), "Texas",ISNUMBER(SEARCH("V-Sherwood:", O15)), "Arkansas",ISNUMBER(SEARCH("V-WV:", O15)), "Texas",ISNUMBER(SEARCH("HealthCARE Express - Richmond Road", O15)), "Texas",ISNUMBER(SEARCH("HealthCARE Express - Occupational Medicine", O15)), "Texas")</f>
        <v>Oklahoma</v>
      </c>
      <c r="Q15" t="s">
        <v>276</v>
      </c>
      <c r="R15" t="s">
        <v>311</v>
      </c>
      <c r="S15" t="s">
        <v>139</v>
      </c>
      <c r="T15" t="s">
        <v>277</v>
      </c>
      <c r="U15" t="s">
        <v>285</v>
      </c>
      <c r="V15" t="s">
        <v>280</v>
      </c>
      <c r="AI15" t="str">
        <f t="shared" si="0"/>
        <v>Oklahoma</v>
      </c>
    </row>
    <row r="16" spans="1:35" x14ac:dyDescent="0.25">
      <c r="A16" t="s">
        <v>146</v>
      </c>
      <c r="B16" t="s">
        <v>136</v>
      </c>
      <c r="C16" t="s">
        <v>113</v>
      </c>
      <c r="D16" t="s">
        <v>147</v>
      </c>
      <c r="E16" t="s">
        <v>148</v>
      </c>
      <c r="F16" t="s">
        <v>19</v>
      </c>
      <c r="G16" t="s">
        <v>149</v>
      </c>
      <c r="H16" t="s">
        <v>150</v>
      </c>
      <c r="I16" t="s">
        <v>22</v>
      </c>
      <c r="J16" t="s">
        <v>22</v>
      </c>
      <c r="K16" t="s">
        <v>151</v>
      </c>
      <c r="L16" t="s">
        <v>152</v>
      </c>
      <c r="M16" t="s">
        <v>118</v>
      </c>
      <c r="N16" t="s">
        <v>147</v>
      </c>
      <c r="O16" t="s">
        <v>307</v>
      </c>
      <c r="P16" t="str" cm="1">
        <f t="array" ref="P16">_xlfn.IFS(ISNUMBER(SEARCH("AEIC:", O16)), "Arkansas",ISNUMBER(SEARCH("STM:", O16)), "Texas",ISNUMBER(SEARCH("BILLING:", O16)), "Texas",ISNUMBER(SEARCH("AM:", O16)), "Texas",ISNUMBER(SEARCH("ARBlvd:", O16)), "Arkansas",ISNUMBER(SEARCH("Atlanta:", O16)), "Texas",ISNUMBER(SEARCH("Blanchard:", O16)), "Louisiana",ISNUMBER(SEARCH("Bryant:", O16)), "Arkansas",ISNUMBER(SEARCH("Choctaw:", O16)), "Oklahoma",ISNUMBER(SEARCH("Choc Allgy:", O16)), "Oklahoma",ISNUMBER(SEARCH("DeQueen:", O16)), "Arkansas",ISNUMBER(SEARCH("Edmond:", O16)), "Oklahoma",ISNUMBER(SEARCH("Edmd Aller:", O16)), "Oklahoma",ISNUMBER(SEARCH("Imaging:", O16)), "Texas",ISNUMBER(SEARCH("Longview:", O16)), "Texas",ISNUMBER(SEARCH("Marshall:", O16)), "Texas",ISNUMBER(SEARCH("Mar Allerg:", O16)), "Texas",ISNUMBER(SEARCH("Maumelle:", O16)), "Arkansas",ISNUMBER(SEARCH("MWC:", O16)), "Oklahoma",ISNUMBER(SEARCH("MWC Allgy:", O16)), "Oklahoma",ISNUMBER(SEARCH("Moore:", O16)), "Oklahoma",ISNUMBER(SEARCH("MooreAllgy:", O16)), "Oklahoma",ISNUMBER(SEARCH("MtPleasant:", O16)), "Texas",ISNUMBER(SEARCH("OccOffsite:", O16)), "Texas",ISNUMBER(SEARCH("Pain Mgmt:", O16)), "Texas",ISNUMBER(SEARCH("Paris:", O16)), "Texas",ISNUMBER(SEARCH("PT:", O16)), "Texas",ISNUMBER(SEARCH("RR Allergy:", O16)), "Texas",ISNUMBER(SEARCH("Sherwood:", O16)), "Arkansas",ISNUMBER(SEARCH("WV:", O16)), "Texas",ISNUMBER(SEARCH("Nur-Home:", O16)), "Texas",ISNUMBER(SEARCH("THC:", O16)), "Texas",ISNUMBER(SEARCH("WVTC:", O16)), "Texas",ISNUMBER(SEARCH("TSC:", O16)), "Texas",ISNUMBER(SEARCH("V-AR Blvd:", O16)), "Arkansas",ISNUMBER(SEARCH("V-Maumelle:", O16)), "Arkansas",ISNUMBER(SEARCH("V-Atlanta:", O16)), "Texas",ISNUMBER(SEARCH("VBlanchard:", O16)), "Louisiana",ISNUMBER(SEARCH("V-Bryant:", O16)), "Arkansas",ISNUMBER(SEARCH("V-Choctaw:", O16)), "Oklahoma",ISNUMBER(SEARCH("V-DeQueen:", O16)), "Arkansas",ISNUMBER(SEARCH("V-Longview:", O16)), "Texas",ISNUMBER(SEARCH("V-Marshall:", O16)), "Texas",ISNUMBER(SEARCH("V-MWC:", O16)), "Oklahoma",ISNUMBER(SEARCH("V-Moore:", O16)), "Oklahoma",ISNUMBER(SEARCH("V-MP:", O16)), "Texas",ISNUMBER(SEARCH("V-Edmond:", O16)), "Oklahoma",ISNUMBER(SEARCH("V-Paris:", O16)), "Texas",ISNUMBER(SEARCH("V-RR:", O16)), "Texas",ISNUMBER(SEARCH("V-Sherwood:", O16)), "Arkansas",ISNUMBER(SEARCH("V-WV:", O16)), "Texas",ISNUMBER(SEARCH("HealthCARE Express - Richmond Road", O16)), "Texas",ISNUMBER(SEARCH("HealthCARE Express - Occupational Medicine", O16)), "Texas")</f>
        <v>Texas</v>
      </c>
      <c r="Q16" t="s">
        <v>308</v>
      </c>
      <c r="R16" t="s">
        <v>312</v>
      </c>
      <c r="S16" t="s">
        <v>148</v>
      </c>
      <c r="T16" t="s">
        <v>277</v>
      </c>
      <c r="U16" t="s">
        <v>285</v>
      </c>
      <c r="V16" t="s">
        <v>300</v>
      </c>
      <c r="W16" t="s">
        <v>304</v>
      </c>
      <c r="X16" t="s">
        <v>306</v>
      </c>
      <c r="AI16" t="str">
        <f t="shared" si="0"/>
        <v>Texas/La/DQ/Ark Blvd</v>
      </c>
    </row>
    <row r="17" spans="1:35" x14ac:dyDescent="0.25">
      <c r="A17" t="s">
        <v>153</v>
      </c>
      <c r="B17" t="s">
        <v>154</v>
      </c>
      <c r="C17" t="s">
        <v>96</v>
      </c>
      <c r="D17" t="s">
        <v>155</v>
      </c>
      <c r="E17" t="s">
        <v>73</v>
      </c>
      <c r="F17" t="s">
        <v>19</v>
      </c>
      <c r="G17" t="s">
        <v>156</v>
      </c>
      <c r="H17" t="s">
        <v>157</v>
      </c>
      <c r="I17" t="s">
        <v>22</v>
      </c>
      <c r="J17" t="s">
        <v>22</v>
      </c>
      <c r="K17" t="s">
        <v>158</v>
      </c>
      <c r="L17" t="s">
        <v>159</v>
      </c>
      <c r="M17" t="s">
        <v>102</v>
      </c>
      <c r="N17" t="s">
        <v>155</v>
      </c>
      <c r="O17" t="s">
        <v>313</v>
      </c>
      <c r="P17" t="str" cm="1">
        <f t="array" ref="P17">_xlfn.IFS(ISNUMBER(SEARCH("AEIC:", O17)), "Arkansas",ISNUMBER(SEARCH("STM:", O17)), "Texas",ISNUMBER(SEARCH("BILLING:", O17)), "Texas",ISNUMBER(SEARCH("AM:", O17)), "Texas",ISNUMBER(SEARCH("ARBlvd:", O17)), "Arkansas",ISNUMBER(SEARCH("Atlanta:", O17)), "Texas",ISNUMBER(SEARCH("Blanchard:", O17)), "Louisiana",ISNUMBER(SEARCH("Bryant:", O17)), "Arkansas",ISNUMBER(SEARCH("Choctaw:", O17)), "Oklahoma",ISNUMBER(SEARCH("Choc Allgy:", O17)), "Oklahoma",ISNUMBER(SEARCH("DeQueen:", O17)), "Arkansas",ISNUMBER(SEARCH("Edmond:", O17)), "Oklahoma",ISNUMBER(SEARCH("Edmd Aller:", O17)), "Oklahoma",ISNUMBER(SEARCH("Imaging:", O17)), "Texas",ISNUMBER(SEARCH("Longview:", O17)), "Texas",ISNUMBER(SEARCH("Marshall:", O17)), "Texas",ISNUMBER(SEARCH("Mar Allerg:", O17)), "Texas",ISNUMBER(SEARCH("Maumelle:", O17)), "Arkansas",ISNUMBER(SEARCH("MWC:", O17)), "Oklahoma",ISNUMBER(SEARCH("MWC Allgy:", O17)), "Oklahoma",ISNUMBER(SEARCH("Moore:", O17)), "Oklahoma",ISNUMBER(SEARCH("MooreAllgy:", O17)), "Oklahoma",ISNUMBER(SEARCH("MtPleasant:", O17)), "Texas",ISNUMBER(SEARCH("OccOffsite:", O17)), "Texas",ISNUMBER(SEARCH("Pain Mgmt:", O17)), "Texas",ISNUMBER(SEARCH("Paris:", O17)), "Texas",ISNUMBER(SEARCH("PT:", O17)), "Texas",ISNUMBER(SEARCH("RR Allergy:", O17)), "Texas",ISNUMBER(SEARCH("Sherwood:", O17)), "Arkansas",ISNUMBER(SEARCH("WV:", O17)), "Texas",ISNUMBER(SEARCH("Nur-Home:", O17)), "Texas",ISNUMBER(SEARCH("THC:", O17)), "Texas",ISNUMBER(SEARCH("WVTC:", O17)), "Texas",ISNUMBER(SEARCH("TSC:", O17)), "Texas",ISNUMBER(SEARCH("V-AR Blvd:", O17)), "Arkansas",ISNUMBER(SEARCH("V-Maumelle:", O17)), "Arkansas",ISNUMBER(SEARCH("V-Atlanta:", O17)), "Texas",ISNUMBER(SEARCH("VBlanchard:", O17)), "Louisiana",ISNUMBER(SEARCH("V-Bryant:", O17)), "Arkansas",ISNUMBER(SEARCH("V-Choctaw:", O17)), "Oklahoma",ISNUMBER(SEARCH("V-DeQueen:", O17)), "Arkansas",ISNUMBER(SEARCH("V-Longview:", O17)), "Texas",ISNUMBER(SEARCH("V-Marshall:", O17)), "Texas",ISNUMBER(SEARCH("V-MWC:", O17)), "Oklahoma",ISNUMBER(SEARCH("V-Moore:", O17)), "Oklahoma",ISNUMBER(SEARCH("V-MP:", O17)), "Texas",ISNUMBER(SEARCH("V-Edmond:", O17)), "Oklahoma",ISNUMBER(SEARCH("V-Paris:", O17)), "Texas",ISNUMBER(SEARCH("V-RR:", O17)), "Texas",ISNUMBER(SEARCH("V-Sherwood:", O17)), "Arkansas",ISNUMBER(SEARCH("V-WV:", O17)), "Texas",ISNUMBER(SEARCH("HealthCARE Express - Richmond Road", O17)), "Texas",ISNUMBER(SEARCH("HealthCARE Express - Occupational Medicine", O17)), "Texas")</f>
        <v>Arkansas</v>
      </c>
      <c r="Q17" t="s">
        <v>308</v>
      </c>
      <c r="R17" t="s">
        <v>295</v>
      </c>
      <c r="S17" t="s">
        <v>73</v>
      </c>
      <c r="T17" t="s">
        <v>277</v>
      </c>
      <c r="U17" t="s">
        <v>285</v>
      </c>
      <c r="AI17" t="str">
        <f t="shared" si="0"/>
        <v>Little Rock Region</v>
      </c>
    </row>
    <row r="18" spans="1:35" x14ac:dyDescent="0.25">
      <c r="A18" t="s">
        <v>160</v>
      </c>
      <c r="B18" t="s">
        <v>154</v>
      </c>
      <c r="C18" t="s">
        <v>96</v>
      </c>
      <c r="D18" t="s">
        <v>161</v>
      </c>
      <c r="E18" t="s">
        <v>162</v>
      </c>
      <c r="F18" t="s">
        <v>19</v>
      </c>
      <c r="G18" t="s">
        <v>163</v>
      </c>
      <c r="H18" t="s">
        <v>43</v>
      </c>
      <c r="I18" t="s">
        <v>22</v>
      </c>
      <c r="J18" t="s">
        <v>22</v>
      </c>
      <c r="K18" t="s">
        <v>164</v>
      </c>
      <c r="L18" t="s">
        <v>165</v>
      </c>
      <c r="M18" t="s">
        <v>102</v>
      </c>
      <c r="N18" t="s">
        <v>166</v>
      </c>
      <c r="O18" t="s">
        <v>313</v>
      </c>
      <c r="P18" t="str" cm="1">
        <f t="array" ref="P18">_xlfn.IFS(ISNUMBER(SEARCH("AEIC:", O18)), "Arkansas",ISNUMBER(SEARCH("STM:", O18)), "Texas",ISNUMBER(SEARCH("BILLING:", O18)), "Texas",ISNUMBER(SEARCH("AM:", O18)), "Texas",ISNUMBER(SEARCH("ARBlvd:", O18)), "Arkansas",ISNUMBER(SEARCH("Atlanta:", O18)), "Texas",ISNUMBER(SEARCH("Blanchard:", O18)), "Louisiana",ISNUMBER(SEARCH("Bryant:", O18)), "Arkansas",ISNUMBER(SEARCH("Choctaw:", O18)), "Oklahoma",ISNUMBER(SEARCH("Choc Allgy:", O18)), "Oklahoma",ISNUMBER(SEARCH("DeQueen:", O18)), "Arkansas",ISNUMBER(SEARCH("Edmond:", O18)), "Oklahoma",ISNUMBER(SEARCH("Edmd Aller:", O18)), "Oklahoma",ISNUMBER(SEARCH("Imaging:", O18)), "Texas",ISNUMBER(SEARCH("Longview:", O18)), "Texas",ISNUMBER(SEARCH("Marshall:", O18)), "Texas",ISNUMBER(SEARCH("Mar Allerg:", O18)), "Texas",ISNUMBER(SEARCH("Maumelle:", O18)), "Arkansas",ISNUMBER(SEARCH("MWC:", O18)), "Oklahoma",ISNUMBER(SEARCH("MWC Allgy:", O18)), "Oklahoma",ISNUMBER(SEARCH("Moore:", O18)), "Oklahoma",ISNUMBER(SEARCH("MooreAllgy:", O18)), "Oklahoma",ISNUMBER(SEARCH("MtPleasant:", O18)), "Texas",ISNUMBER(SEARCH("OccOffsite:", O18)), "Texas",ISNUMBER(SEARCH("Pain Mgmt:", O18)), "Texas",ISNUMBER(SEARCH("Paris:", O18)), "Texas",ISNUMBER(SEARCH("PT:", O18)), "Texas",ISNUMBER(SEARCH("RR Allergy:", O18)), "Texas",ISNUMBER(SEARCH("Sherwood:", O18)), "Arkansas",ISNUMBER(SEARCH("WV:", O18)), "Texas",ISNUMBER(SEARCH("Nur-Home:", O18)), "Texas",ISNUMBER(SEARCH("THC:", O18)), "Texas",ISNUMBER(SEARCH("WVTC:", O18)), "Texas",ISNUMBER(SEARCH("TSC:", O18)), "Texas",ISNUMBER(SEARCH("V-AR Blvd:", O18)), "Arkansas",ISNUMBER(SEARCH("V-Maumelle:", O18)), "Arkansas",ISNUMBER(SEARCH("V-Atlanta:", O18)), "Texas",ISNUMBER(SEARCH("VBlanchard:", O18)), "Louisiana",ISNUMBER(SEARCH("V-Bryant:", O18)), "Arkansas",ISNUMBER(SEARCH("V-Choctaw:", O18)), "Oklahoma",ISNUMBER(SEARCH("V-DeQueen:", O18)), "Arkansas",ISNUMBER(SEARCH("V-Longview:", O18)), "Texas",ISNUMBER(SEARCH("V-Marshall:", O18)), "Texas",ISNUMBER(SEARCH("V-MWC:", O18)), "Oklahoma",ISNUMBER(SEARCH("V-Moore:", O18)), "Oklahoma",ISNUMBER(SEARCH("V-MP:", O18)), "Texas",ISNUMBER(SEARCH("V-Edmond:", O18)), "Oklahoma",ISNUMBER(SEARCH("V-Paris:", O18)), "Texas",ISNUMBER(SEARCH("V-RR:", O18)), "Texas",ISNUMBER(SEARCH("V-Sherwood:", O18)), "Arkansas",ISNUMBER(SEARCH("V-WV:", O18)), "Texas",ISNUMBER(SEARCH("HealthCARE Express - Richmond Road", O18)), "Texas",ISNUMBER(SEARCH("HealthCARE Express - Occupational Medicine", O18)), "Texas")</f>
        <v>Arkansas</v>
      </c>
      <c r="Q18" t="s">
        <v>308</v>
      </c>
      <c r="R18" t="s">
        <v>295</v>
      </c>
      <c r="S18" t="s">
        <v>162</v>
      </c>
      <c r="T18" t="s">
        <v>277</v>
      </c>
      <c r="U18" t="s">
        <v>280</v>
      </c>
      <c r="AI18" t="str">
        <f t="shared" si="0"/>
        <v>Little Rock Region</v>
      </c>
    </row>
    <row r="19" spans="1:35" x14ac:dyDescent="0.25">
      <c r="A19" t="s">
        <v>167</v>
      </c>
      <c r="B19" t="s">
        <v>168</v>
      </c>
      <c r="C19" t="s">
        <v>39</v>
      </c>
      <c r="D19" t="s">
        <v>169</v>
      </c>
      <c r="E19" t="s">
        <v>73</v>
      </c>
      <c r="F19" t="s">
        <v>19</v>
      </c>
      <c r="G19" t="s">
        <v>170</v>
      </c>
      <c r="H19" t="s">
        <v>171</v>
      </c>
      <c r="I19" t="s">
        <v>22</v>
      </c>
      <c r="J19" t="s">
        <v>22</v>
      </c>
      <c r="K19" t="s">
        <v>172</v>
      </c>
      <c r="L19" t="s">
        <v>173</v>
      </c>
      <c r="M19" t="s">
        <v>46</v>
      </c>
      <c r="N19" t="s">
        <v>169</v>
      </c>
      <c r="O19" t="s">
        <v>288</v>
      </c>
      <c r="P19" t="str" cm="1">
        <f t="array" ref="P19">_xlfn.IFS(ISNUMBER(SEARCH("AEIC:", O19)), "Arkansas",ISNUMBER(SEARCH("STM:", O19)), "Texas",ISNUMBER(SEARCH("BILLING:", O19)), "Texas",ISNUMBER(SEARCH("AM:", O19)), "Texas",ISNUMBER(SEARCH("ARBlvd:", O19)), "Arkansas",ISNUMBER(SEARCH("Atlanta:", O19)), "Texas",ISNUMBER(SEARCH("Blanchard:", O19)), "Louisiana",ISNUMBER(SEARCH("Bryant:", O19)), "Arkansas",ISNUMBER(SEARCH("Choctaw:", O19)), "Oklahoma",ISNUMBER(SEARCH("Choc Allgy:", O19)), "Oklahoma",ISNUMBER(SEARCH("DeQueen:", O19)), "Arkansas",ISNUMBER(SEARCH("Edmond:", O19)), "Oklahoma",ISNUMBER(SEARCH("Edmd Aller:", O19)), "Oklahoma",ISNUMBER(SEARCH("Imaging:", O19)), "Texas",ISNUMBER(SEARCH("Longview:", O19)), "Texas",ISNUMBER(SEARCH("Marshall:", O19)), "Texas",ISNUMBER(SEARCH("Mar Allerg:", O19)), "Texas",ISNUMBER(SEARCH("Maumelle:", O19)), "Arkansas",ISNUMBER(SEARCH("MWC:", O19)), "Oklahoma",ISNUMBER(SEARCH("MWC Allgy:", O19)), "Oklahoma",ISNUMBER(SEARCH("Moore:", O19)), "Oklahoma",ISNUMBER(SEARCH("MooreAllgy:", O19)), "Oklahoma",ISNUMBER(SEARCH("MtPleasant:", O19)), "Texas",ISNUMBER(SEARCH("OccOffsite:", O19)), "Texas",ISNUMBER(SEARCH("Pain Mgmt:", O19)), "Texas",ISNUMBER(SEARCH("Paris:", O19)), "Texas",ISNUMBER(SEARCH("PT:", O19)), "Texas",ISNUMBER(SEARCH("RR Allergy:", O19)), "Texas",ISNUMBER(SEARCH("Sherwood:", O19)), "Arkansas",ISNUMBER(SEARCH("WV:", O19)), "Texas",ISNUMBER(SEARCH("Nur-Home:", O19)), "Texas",ISNUMBER(SEARCH("THC:", O19)), "Texas",ISNUMBER(SEARCH("WVTC:", O19)), "Texas",ISNUMBER(SEARCH("TSC:", O19)), "Texas",ISNUMBER(SEARCH("V-AR Blvd:", O19)), "Arkansas",ISNUMBER(SEARCH("V-Maumelle:", O19)), "Arkansas",ISNUMBER(SEARCH("V-Atlanta:", O19)), "Texas",ISNUMBER(SEARCH("VBlanchard:", O19)), "Louisiana",ISNUMBER(SEARCH("V-Bryant:", O19)), "Arkansas",ISNUMBER(SEARCH("V-Choctaw:", O19)), "Oklahoma",ISNUMBER(SEARCH("V-DeQueen:", O19)), "Arkansas",ISNUMBER(SEARCH("V-Longview:", O19)), "Texas",ISNUMBER(SEARCH("V-Marshall:", O19)), "Texas",ISNUMBER(SEARCH("V-MWC:", O19)), "Oklahoma",ISNUMBER(SEARCH("V-Moore:", O19)), "Oklahoma",ISNUMBER(SEARCH("V-MP:", O19)), "Texas",ISNUMBER(SEARCH("V-Edmond:", O19)), "Oklahoma",ISNUMBER(SEARCH("V-Paris:", O19)), "Texas",ISNUMBER(SEARCH("V-RR:", O19)), "Texas",ISNUMBER(SEARCH("V-Sherwood:", O19)), "Arkansas",ISNUMBER(SEARCH("V-WV:", O19)), "Texas",ISNUMBER(SEARCH("HealthCARE Express - Richmond Road", O19)), "Texas",ISNUMBER(SEARCH("HealthCARE Express - Occupational Medicine", O19)), "Texas")</f>
        <v>Arkansas</v>
      </c>
      <c r="Q19" t="s">
        <v>308</v>
      </c>
      <c r="R19" t="s">
        <v>295</v>
      </c>
      <c r="S19" t="s">
        <v>73</v>
      </c>
      <c r="T19" t="s">
        <v>277</v>
      </c>
      <c r="U19" t="s">
        <v>285</v>
      </c>
      <c r="V19" t="s">
        <v>291</v>
      </c>
      <c r="W19" t="s">
        <v>314</v>
      </c>
      <c r="X19" t="s">
        <v>281</v>
      </c>
      <c r="Y19" t="s">
        <v>304</v>
      </c>
      <c r="Z19" t="s">
        <v>306</v>
      </c>
      <c r="AI19" t="str">
        <f t="shared" si="0"/>
        <v>Little Rock Region</v>
      </c>
    </row>
    <row r="20" spans="1:35" x14ac:dyDescent="0.25">
      <c r="A20" t="s">
        <v>174</v>
      </c>
      <c r="B20" t="s">
        <v>175</v>
      </c>
      <c r="C20" t="s">
        <v>113</v>
      </c>
      <c r="D20" t="s">
        <v>176</v>
      </c>
      <c r="E20" t="s">
        <v>177</v>
      </c>
      <c r="F20" t="s">
        <v>19</v>
      </c>
      <c r="G20" t="s">
        <v>178</v>
      </c>
      <c r="H20" t="s">
        <v>171</v>
      </c>
      <c r="I20" t="s">
        <v>22</v>
      </c>
      <c r="J20" t="s">
        <v>22</v>
      </c>
      <c r="K20" t="s">
        <v>179</v>
      </c>
      <c r="L20" t="s">
        <v>180</v>
      </c>
      <c r="M20" t="s">
        <v>118</v>
      </c>
      <c r="N20" t="s">
        <v>181</v>
      </c>
      <c r="O20" t="s">
        <v>307</v>
      </c>
      <c r="P20" t="str" cm="1">
        <f t="array" ref="P20">_xlfn.IFS(ISNUMBER(SEARCH("AEIC:", O20)), "Arkansas",ISNUMBER(SEARCH("STM:", O20)), "Texas",ISNUMBER(SEARCH("BILLING:", O20)), "Texas",ISNUMBER(SEARCH("AM:", O20)), "Texas",ISNUMBER(SEARCH("ARBlvd:", O20)), "Arkansas",ISNUMBER(SEARCH("Atlanta:", O20)), "Texas",ISNUMBER(SEARCH("Blanchard:", O20)), "Louisiana",ISNUMBER(SEARCH("Bryant:", O20)), "Arkansas",ISNUMBER(SEARCH("Choctaw:", O20)), "Oklahoma",ISNUMBER(SEARCH("Choc Allgy:", O20)), "Oklahoma",ISNUMBER(SEARCH("DeQueen:", O20)), "Arkansas",ISNUMBER(SEARCH("Edmond:", O20)), "Oklahoma",ISNUMBER(SEARCH("Edmd Aller:", O20)), "Oklahoma",ISNUMBER(SEARCH("Imaging:", O20)), "Texas",ISNUMBER(SEARCH("Longview:", O20)), "Texas",ISNUMBER(SEARCH("Marshall:", O20)), "Texas",ISNUMBER(SEARCH("Mar Allerg:", O20)), "Texas",ISNUMBER(SEARCH("Maumelle:", O20)), "Arkansas",ISNUMBER(SEARCH("MWC:", O20)), "Oklahoma",ISNUMBER(SEARCH("MWC Allgy:", O20)), "Oklahoma",ISNUMBER(SEARCH("Moore:", O20)), "Oklahoma",ISNUMBER(SEARCH("MooreAllgy:", O20)), "Oklahoma",ISNUMBER(SEARCH("MtPleasant:", O20)), "Texas",ISNUMBER(SEARCH("OccOffsite:", O20)), "Texas",ISNUMBER(SEARCH("Pain Mgmt:", O20)), "Texas",ISNUMBER(SEARCH("Paris:", O20)), "Texas",ISNUMBER(SEARCH("PT:", O20)), "Texas",ISNUMBER(SEARCH("RR Allergy:", O20)), "Texas",ISNUMBER(SEARCH("Sherwood:", O20)), "Arkansas",ISNUMBER(SEARCH("WV:", O20)), "Texas",ISNUMBER(SEARCH("Nur-Home:", O20)), "Texas",ISNUMBER(SEARCH("THC:", O20)), "Texas",ISNUMBER(SEARCH("WVTC:", O20)), "Texas",ISNUMBER(SEARCH("TSC:", O20)), "Texas",ISNUMBER(SEARCH("V-AR Blvd:", O20)), "Arkansas",ISNUMBER(SEARCH("V-Maumelle:", O20)), "Arkansas",ISNUMBER(SEARCH("V-Atlanta:", O20)), "Texas",ISNUMBER(SEARCH("VBlanchard:", O20)), "Louisiana",ISNUMBER(SEARCH("V-Bryant:", O20)), "Arkansas",ISNUMBER(SEARCH("V-Choctaw:", O20)), "Oklahoma",ISNUMBER(SEARCH("V-DeQueen:", O20)), "Arkansas",ISNUMBER(SEARCH("V-Longview:", O20)), "Texas",ISNUMBER(SEARCH("V-Marshall:", O20)), "Texas",ISNUMBER(SEARCH("V-MWC:", O20)), "Oklahoma",ISNUMBER(SEARCH("V-Moore:", O20)), "Oklahoma",ISNUMBER(SEARCH("V-MP:", O20)), "Texas",ISNUMBER(SEARCH("V-Edmond:", O20)), "Oklahoma",ISNUMBER(SEARCH("V-Paris:", O20)), "Texas",ISNUMBER(SEARCH("V-RR:", O20)), "Texas",ISNUMBER(SEARCH("V-Sherwood:", O20)), "Arkansas",ISNUMBER(SEARCH("V-WV:", O20)), "Texas",ISNUMBER(SEARCH("HealthCARE Express - Richmond Road", O20)), "Texas",ISNUMBER(SEARCH("HealthCARE Express - Occupational Medicine", O20)), "Texas")</f>
        <v>Texas</v>
      </c>
      <c r="Q20" t="s">
        <v>276</v>
      </c>
      <c r="R20" t="s">
        <v>284</v>
      </c>
      <c r="S20" t="s">
        <v>177</v>
      </c>
      <c r="T20" t="s">
        <v>277</v>
      </c>
      <c r="U20" t="s">
        <v>285</v>
      </c>
      <c r="V20" t="s">
        <v>309</v>
      </c>
      <c r="W20" t="s">
        <v>280</v>
      </c>
      <c r="X20" t="s">
        <v>281</v>
      </c>
      <c r="AI20" t="str">
        <f t="shared" si="0"/>
        <v>Texas/La/DQ/Ark Blvd</v>
      </c>
    </row>
    <row r="21" spans="1:35" x14ac:dyDescent="0.25">
      <c r="A21" t="s">
        <v>182</v>
      </c>
      <c r="B21" t="s">
        <v>183</v>
      </c>
      <c r="C21" t="s">
        <v>184</v>
      </c>
      <c r="D21" t="s">
        <v>185</v>
      </c>
      <c r="E21" t="s">
        <v>186</v>
      </c>
      <c r="F21" t="s">
        <v>19</v>
      </c>
      <c r="G21" t="s">
        <v>187</v>
      </c>
      <c r="H21" t="s">
        <v>22</v>
      </c>
      <c r="I21" t="s">
        <v>22</v>
      </c>
      <c r="J21" t="s">
        <v>22</v>
      </c>
      <c r="K21" t="s">
        <v>187</v>
      </c>
      <c r="L21" t="s">
        <v>188</v>
      </c>
      <c r="M21" t="s">
        <v>189</v>
      </c>
      <c r="N21" t="s">
        <v>190</v>
      </c>
      <c r="O21" t="s">
        <v>283</v>
      </c>
      <c r="P21" t="str" cm="1">
        <f t="array" ref="P21">_xlfn.IFS(ISNUMBER(SEARCH("AEIC:", O21)), "Arkansas",ISNUMBER(SEARCH("STM:", O21)), "Texas",ISNUMBER(SEARCH("BILLING:", O21)), "Texas",ISNUMBER(SEARCH("AM:", O21)), "Texas",ISNUMBER(SEARCH("ARBlvd:", O21)), "Arkansas",ISNUMBER(SEARCH("Atlanta:", O21)), "Texas",ISNUMBER(SEARCH("Blanchard:", O21)), "Louisiana",ISNUMBER(SEARCH("Bryant:", O21)), "Arkansas",ISNUMBER(SEARCH("Choctaw:", O21)), "Oklahoma",ISNUMBER(SEARCH("Choc Allgy:", O21)), "Oklahoma",ISNUMBER(SEARCH("DeQueen:", O21)), "Arkansas",ISNUMBER(SEARCH("Edmond:", O21)), "Oklahoma",ISNUMBER(SEARCH("Edmd Aller:", O21)), "Oklahoma",ISNUMBER(SEARCH("Imaging:", O21)), "Texas",ISNUMBER(SEARCH("Longview:", O21)), "Texas",ISNUMBER(SEARCH("Marshall:", O21)), "Texas",ISNUMBER(SEARCH("Mar Allerg:", O21)), "Texas",ISNUMBER(SEARCH("Maumelle:", O21)), "Arkansas",ISNUMBER(SEARCH("MWC:", O21)), "Oklahoma",ISNUMBER(SEARCH("MWC Allgy:", O21)), "Oklahoma",ISNUMBER(SEARCH("Moore:", O21)), "Oklahoma",ISNUMBER(SEARCH("MooreAllgy:", O21)), "Oklahoma",ISNUMBER(SEARCH("MtPleasant:", O21)), "Texas",ISNUMBER(SEARCH("OccOffsite:", O21)), "Texas",ISNUMBER(SEARCH("Pain Mgmt:", O21)), "Texas",ISNUMBER(SEARCH("Paris:", O21)), "Texas",ISNUMBER(SEARCH("PT:", O21)), "Texas",ISNUMBER(SEARCH("RR Allergy:", O21)), "Texas",ISNUMBER(SEARCH("Sherwood:", O21)), "Arkansas",ISNUMBER(SEARCH("WV:", O21)), "Texas",ISNUMBER(SEARCH("Nur-Home:", O21)), "Texas",ISNUMBER(SEARCH("THC:", O21)), "Texas",ISNUMBER(SEARCH("WVTC:", O21)), "Texas",ISNUMBER(SEARCH("TSC:", O21)), "Texas",ISNUMBER(SEARCH("V-AR Blvd:", O21)), "Arkansas",ISNUMBER(SEARCH("V-Maumelle:", O21)), "Arkansas",ISNUMBER(SEARCH("V-Atlanta:", O21)), "Texas",ISNUMBER(SEARCH("VBlanchard:", O21)), "Louisiana",ISNUMBER(SEARCH("V-Bryant:", O21)), "Arkansas",ISNUMBER(SEARCH("V-Choctaw:", O21)), "Oklahoma",ISNUMBER(SEARCH("V-DeQueen:", O21)), "Arkansas",ISNUMBER(SEARCH("V-Longview:", O21)), "Texas",ISNUMBER(SEARCH("V-Marshall:", O21)), "Texas",ISNUMBER(SEARCH("V-MWC:", O21)), "Oklahoma",ISNUMBER(SEARCH("V-Moore:", O21)), "Oklahoma",ISNUMBER(SEARCH("V-MP:", O21)), "Texas",ISNUMBER(SEARCH("V-Edmond:", O21)), "Oklahoma",ISNUMBER(SEARCH("V-Paris:", O21)), "Texas",ISNUMBER(SEARCH("V-RR:", O21)), "Texas",ISNUMBER(SEARCH("V-Sherwood:", O21)), "Arkansas",ISNUMBER(SEARCH("V-WV:", O21)), "Texas",ISNUMBER(SEARCH("HealthCARE Express - Richmond Road", O21)), "Texas",ISNUMBER(SEARCH("HealthCARE Express - Occupational Medicine", O21)), "Texas")</f>
        <v>Texas</v>
      </c>
      <c r="Q21" t="s">
        <v>276</v>
      </c>
      <c r="R21" t="s">
        <v>311</v>
      </c>
      <c r="S21" t="s">
        <v>186</v>
      </c>
      <c r="T21" t="s">
        <v>277</v>
      </c>
      <c r="U21" t="s">
        <v>299</v>
      </c>
      <c r="V21" t="s">
        <v>297</v>
      </c>
      <c r="W21" t="s">
        <v>281</v>
      </c>
      <c r="X21" t="s">
        <v>282</v>
      </c>
      <c r="AI21" t="str">
        <f t="shared" si="0"/>
        <v>Texas/La/DQ/Ark Blvd</v>
      </c>
    </row>
    <row r="22" spans="1:35" x14ac:dyDescent="0.25">
      <c r="A22" t="s">
        <v>191</v>
      </c>
      <c r="B22" t="s">
        <v>183</v>
      </c>
      <c r="C22" t="s">
        <v>60</v>
      </c>
      <c r="D22" t="s">
        <v>192</v>
      </c>
      <c r="E22" t="s">
        <v>186</v>
      </c>
      <c r="F22" t="s">
        <v>19</v>
      </c>
      <c r="G22" t="s">
        <v>193</v>
      </c>
      <c r="H22" t="s">
        <v>22</v>
      </c>
      <c r="I22" t="s">
        <v>22</v>
      </c>
      <c r="J22" t="s">
        <v>22</v>
      </c>
      <c r="K22" t="s">
        <v>193</v>
      </c>
      <c r="L22" t="s">
        <v>194</v>
      </c>
      <c r="M22" t="s">
        <v>67</v>
      </c>
      <c r="N22" t="s">
        <v>195</v>
      </c>
      <c r="O22" t="s">
        <v>307</v>
      </c>
      <c r="P22" t="str" cm="1">
        <f t="array" ref="P22">_xlfn.IFS(ISNUMBER(SEARCH("AEIC:", O22)), "Arkansas",ISNUMBER(SEARCH("STM:", O22)), "Texas",ISNUMBER(SEARCH("BILLING:", O22)), "Texas",ISNUMBER(SEARCH("AM:", O22)), "Texas",ISNUMBER(SEARCH("ARBlvd:", O22)), "Arkansas",ISNUMBER(SEARCH("Atlanta:", O22)), "Texas",ISNUMBER(SEARCH("Blanchard:", O22)), "Louisiana",ISNUMBER(SEARCH("Bryant:", O22)), "Arkansas",ISNUMBER(SEARCH("Choctaw:", O22)), "Oklahoma",ISNUMBER(SEARCH("Choc Allgy:", O22)), "Oklahoma",ISNUMBER(SEARCH("DeQueen:", O22)), "Arkansas",ISNUMBER(SEARCH("Edmond:", O22)), "Oklahoma",ISNUMBER(SEARCH("Edmd Aller:", O22)), "Oklahoma",ISNUMBER(SEARCH("Imaging:", O22)), "Texas",ISNUMBER(SEARCH("Longview:", O22)), "Texas",ISNUMBER(SEARCH("Marshall:", O22)), "Texas",ISNUMBER(SEARCH("Mar Allerg:", O22)), "Texas",ISNUMBER(SEARCH("Maumelle:", O22)), "Arkansas",ISNUMBER(SEARCH("MWC:", O22)), "Oklahoma",ISNUMBER(SEARCH("MWC Allgy:", O22)), "Oklahoma",ISNUMBER(SEARCH("Moore:", O22)), "Oklahoma",ISNUMBER(SEARCH("MooreAllgy:", O22)), "Oklahoma",ISNUMBER(SEARCH("MtPleasant:", O22)), "Texas",ISNUMBER(SEARCH("OccOffsite:", O22)), "Texas",ISNUMBER(SEARCH("Pain Mgmt:", O22)), "Texas",ISNUMBER(SEARCH("Paris:", O22)), "Texas",ISNUMBER(SEARCH("PT:", O22)), "Texas",ISNUMBER(SEARCH("RR Allergy:", O22)), "Texas",ISNUMBER(SEARCH("Sherwood:", O22)), "Arkansas",ISNUMBER(SEARCH("WV:", O22)), "Texas",ISNUMBER(SEARCH("Nur-Home:", O22)), "Texas",ISNUMBER(SEARCH("THC:", O22)), "Texas",ISNUMBER(SEARCH("WVTC:", O22)), "Texas",ISNUMBER(SEARCH("TSC:", O22)), "Texas",ISNUMBER(SEARCH("V-AR Blvd:", O22)), "Arkansas",ISNUMBER(SEARCH("V-Maumelle:", O22)), "Arkansas",ISNUMBER(SEARCH("V-Atlanta:", O22)), "Texas",ISNUMBER(SEARCH("VBlanchard:", O22)), "Louisiana",ISNUMBER(SEARCH("V-Bryant:", O22)), "Arkansas",ISNUMBER(SEARCH("V-Choctaw:", O22)), "Oklahoma",ISNUMBER(SEARCH("V-DeQueen:", O22)), "Arkansas",ISNUMBER(SEARCH("V-Longview:", O22)), "Texas",ISNUMBER(SEARCH("V-Marshall:", O22)), "Texas",ISNUMBER(SEARCH("V-MWC:", O22)), "Oklahoma",ISNUMBER(SEARCH("V-Moore:", O22)), "Oklahoma",ISNUMBER(SEARCH("V-MP:", O22)), "Texas",ISNUMBER(SEARCH("V-Edmond:", O22)), "Oklahoma",ISNUMBER(SEARCH("V-Paris:", O22)), "Texas",ISNUMBER(SEARCH("V-RR:", O22)), "Texas",ISNUMBER(SEARCH("V-Sherwood:", O22)), "Arkansas",ISNUMBER(SEARCH("V-WV:", O22)), "Texas",ISNUMBER(SEARCH("HealthCARE Express - Richmond Road", O22)), "Texas",ISNUMBER(SEARCH("HealthCARE Express - Occupational Medicine", O22)), "Texas")</f>
        <v>Texas</v>
      </c>
      <c r="Q22" t="s">
        <v>276</v>
      </c>
      <c r="R22" t="s">
        <v>311</v>
      </c>
      <c r="S22" t="s">
        <v>186</v>
      </c>
      <c r="T22" t="s">
        <v>277</v>
      </c>
      <c r="U22" t="s">
        <v>285</v>
      </c>
      <c r="V22" t="s">
        <v>315</v>
      </c>
      <c r="AI22" t="str">
        <f t="shared" si="0"/>
        <v>-</v>
      </c>
    </row>
    <row r="23" spans="1:35" x14ac:dyDescent="0.25">
      <c r="A23" t="s">
        <v>196</v>
      </c>
      <c r="B23" t="s">
        <v>183</v>
      </c>
      <c r="C23" t="s">
        <v>184</v>
      </c>
      <c r="D23" t="s">
        <v>197</v>
      </c>
      <c r="E23" t="s">
        <v>186</v>
      </c>
      <c r="F23" t="s">
        <v>19</v>
      </c>
      <c r="G23" t="s">
        <v>198</v>
      </c>
      <c r="H23" t="s">
        <v>22</v>
      </c>
      <c r="I23" t="s">
        <v>22</v>
      </c>
      <c r="J23" t="s">
        <v>22</v>
      </c>
      <c r="K23" t="s">
        <v>198</v>
      </c>
      <c r="L23" t="s">
        <v>199</v>
      </c>
      <c r="M23" t="s">
        <v>189</v>
      </c>
      <c r="N23" t="s">
        <v>197</v>
      </c>
      <c r="O23" t="s">
        <v>283</v>
      </c>
      <c r="P23" t="str" cm="1">
        <f t="array" ref="P23">_xlfn.IFS(ISNUMBER(SEARCH("AEIC:", O23)), "Arkansas",ISNUMBER(SEARCH("STM:", O23)), "Texas",ISNUMBER(SEARCH("BILLING:", O23)), "Texas",ISNUMBER(SEARCH("AM:", O23)), "Texas",ISNUMBER(SEARCH("ARBlvd:", O23)), "Arkansas",ISNUMBER(SEARCH("Atlanta:", O23)), "Texas",ISNUMBER(SEARCH("Blanchard:", O23)), "Louisiana",ISNUMBER(SEARCH("Bryant:", O23)), "Arkansas",ISNUMBER(SEARCH("Choctaw:", O23)), "Oklahoma",ISNUMBER(SEARCH("Choc Allgy:", O23)), "Oklahoma",ISNUMBER(SEARCH("DeQueen:", O23)), "Arkansas",ISNUMBER(SEARCH("Edmond:", O23)), "Oklahoma",ISNUMBER(SEARCH("Edmd Aller:", O23)), "Oklahoma",ISNUMBER(SEARCH("Imaging:", O23)), "Texas",ISNUMBER(SEARCH("Longview:", O23)), "Texas",ISNUMBER(SEARCH("Marshall:", O23)), "Texas",ISNUMBER(SEARCH("Mar Allerg:", O23)), "Texas",ISNUMBER(SEARCH("Maumelle:", O23)), "Arkansas",ISNUMBER(SEARCH("MWC:", O23)), "Oklahoma",ISNUMBER(SEARCH("MWC Allgy:", O23)), "Oklahoma",ISNUMBER(SEARCH("Moore:", O23)), "Oklahoma",ISNUMBER(SEARCH("MooreAllgy:", O23)), "Oklahoma",ISNUMBER(SEARCH("MtPleasant:", O23)), "Texas",ISNUMBER(SEARCH("OccOffsite:", O23)), "Texas",ISNUMBER(SEARCH("Pain Mgmt:", O23)), "Texas",ISNUMBER(SEARCH("Paris:", O23)), "Texas",ISNUMBER(SEARCH("PT:", O23)), "Texas",ISNUMBER(SEARCH("RR Allergy:", O23)), "Texas",ISNUMBER(SEARCH("Sherwood:", O23)), "Arkansas",ISNUMBER(SEARCH("WV:", O23)), "Texas",ISNUMBER(SEARCH("Nur-Home:", O23)), "Texas",ISNUMBER(SEARCH("THC:", O23)), "Texas",ISNUMBER(SEARCH("WVTC:", O23)), "Texas",ISNUMBER(SEARCH("TSC:", O23)), "Texas",ISNUMBER(SEARCH("V-AR Blvd:", O23)), "Arkansas",ISNUMBER(SEARCH("V-Maumelle:", O23)), "Arkansas",ISNUMBER(SEARCH("V-Atlanta:", O23)), "Texas",ISNUMBER(SEARCH("VBlanchard:", O23)), "Louisiana",ISNUMBER(SEARCH("V-Bryant:", O23)), "Arkansas",ISNUMBER(SEARCH("V-Choctaw:", O23)), "Oklahoma",ISNUMBER(SEARCH("V-DeQueen:", O23)), "Arkansas",ISNUMBER(SEARCH("V-Longview:", O23)), "Texas",ISNUMBER(SEARCH("V-Marshall:", O23)), "Texas",ISNUMBER(SEARCH("V-MWC:", O23)), "Oklahoma",ISNUMBER(SEARCH("V-Moore:", O23)), "Oklahoma",ISNUMBER(SEARCH("V-MP:", O23)), "Texas",ISNUMBER(SEARCH("V-Edmond:", O23)), "Oklahoma",ISNUMBER(SEARCH("V-Paris:", O23)), "Texas",ISNUMBER(SEARCH("V-RR:", O23)), "Texas",ISNUMBER(SEARCH("V-Sherwood:", O23)), "Arkansas",ISNUMBER(SEARCH("V-WV:", O23)), "Texas",ISNUMBER(SEARCH("HealthCARE Express - Richmond Road", O23)), "Texas",ISNUMBER(SEARCH("HealthCARE Express - Occupational Medicine", O23)), "Texas")</f>
        <v>Texas</v>
      </c>
      <c r="Q23" t="s">
        <v>276</v>
      </c>
      <c r="R23" t="s">
        <v>311</v>
      </c>
      <c r="S23" t="s">
        <v>186</v>
      </c>
      <c r="T23" t="s">
        <v>302</v>
      </c>
      <c r="U23" t="s">
        <v>291</v>
      </c>
      <c r="V23" t="s">
        <v>299</v>
      </c>
      <c r="W23" t="s">
        <v>281</v>
      </c>
      <c r="X23" t="s">
        <v>304</v>
      </c>
      <c r="Y23" t="s">
        <v>282</v>
      </c>
      <c r="AI23" t="str">
        <f t="shared" si="0"/>
        <v>Texas/La/DQ/Ark Blvd</v>
      </c>
    </row>
    <row r="24" spans="1:35" x14ac:dyDescent="0.25">
      <c r="A24" t="s">
        <v>200</v>
      </c>
      <c r="B24" t="s">
        <v>183</v>
      </c>
      <c r="C24" t="s">
        <v>184</v>
      </c>
      <c r="D24" t="s">
        <v>201</v>
      </c>
      <c r="E24" t="s">
        <v>186</v>
      </c>
      <c r="F24" t="s">
        <v>19</v>
      </c>
      <c r="G24" t="s">
        <v>202</v>
      </c>
      <c r="H24" t="s">
        <v>22</v>
      </c>
      <c r="I24" t="s">
        <v>22</v>
      </c>
      <c r="J24" t="s">
        <v>22</v>
      </c>
      <c r="K24" t="s">
        <v>202</v>
      </c>
      <c r="L24" t="s">
        <v>203</v>
      </c>
      <c r="M24" t="s">
        <v>189</v>
      </c>
      <c r="N24" t="s">
        <v>204</v>
      </c>
      <c r="O24" t="s">
        <v>283</v>
      </c>
      <c r="P24" t="str" cm="1">
        <f t="array" ref="P24">_xlfn.IFS(ISNUMBER(SEARCH("AEIC:", O24)), "Arkansas",ISNUMBER(SEARCH("STM:", O24)), "Texas",ISNUMBER(SEARCH("BILLING:", O24)), "Texas",ISNUMBER(SEARCH("AM:", O24)), "Texas",ISNUMBER(SEARCH("ARBlvd:", O24)), "Arkansas",ISNUMBER(SEARCH("Atlanta:", O24)), "Texas",ISNUMBER(SEARCH("Blanchard:", O24)), "Louisiana",ISNUMBER(SEARCH("Bryant:", O24)), "Arkansas",ISNUMBER(SEARCH("Choctaw:", O24)), "Oklahoma",ISNUMBER(SEARCH("Choc Allgy:", O24)), "Oklahoma",ISNUMBER(SEARCH("DeQueen:", O24)), "Arkansas",ISNUMBER(SEARCH("Edmond:", O24)), "Oklahoma",ISNUMBER(SEARCH("Edmd Aller:", O24)), "Oklahoma",ISNUMBER(SEARCH("Imaging:", O24)), "Texas",ISNUMBER(SEARCH("Longview:", O24)), "Texas",ISNUMBER(SEARCH("Marshall:", O24)), "Texas",ISNUMBER(SEARCH("Mar Allerg:", O24)), "Texas",ISNUMBER(SEARCH("Maumelle:", O24)), "Arkansas",ISNUMBER(SEARCH("MWC:", O24)), "Oklahoma",ISNUMBER(SEARCH("MWC Allgy:", O24)), "Oklahoma",ISNUMBER(SEARCH("Moore:", O24)), "Oklahoma",ISNUMBER(SEARCH("MooreAllgy:", O24)), "Oklahoma",ISNUMBER(SEARCH("MtPleasant:", O24)), "Texas",ISNUMBER(SEARCH("OccOffsite:", O24)), "Texas",ISNUMBER(SEARCH("Pain Mgmt:", O24)), "Texas",ISNUMBER(SEARCH("Paris:", O24)), "Texas",ISNUMBER(SEARCH("PT:", O24)), "Texas",ISNUMBER(SEARCH("RR Allergy:", O24)), "Texas",ISNUMBER(SEARCH("Sherwood:", O24)), "Arkansas",ISNUMBER(SEARCH("WV:", O24)), "Texas",ISNUMBER(SEARCH("Nur-Home:", O24)), "Texas",ISNUMBER(SEARCH("THC:", O24)), "Texas",ISNUMBER(SEARCH("WVTC:", O24)), "Texas",ISNUMBER(SEARCH("TSC:", O24)), "Texas",ISNUMBER(SEARCH("V-AR Blvd:", O24)), "Arkansas",ISNUMBER(SEARCH("V-Maumelle:", O24)), "Arkansas",ISNUMBER(SEARCH("V-Atlanta:", O24)), "Texas",ISNUMBER(SEARCH("VBlanchard:", O24)), "Louisiana",ISNUMBER(SEARCH("V-Bryant:", O24)), "Arkansas",ISNUMBER(SEARCH("V-Choctaw:", O24)), "Oklahoma",ISNUMBER(SEARCH("V-DeQueen:", O24)), "Arkansas",ISNUMBER(SEARCH("V-Longview:", O24)), "Texas",ISNUMBER(SEARCH("V-Marshall:", O24)), "Texas",ISNUMBER(SEARCH("V-MWC:", O24)), "Oklahoma",ISNUMBER(SEARCH("V-Moore:", O24)), "Oklahoma",ISNUMBER(SEARCH("V-MP:", O24)), "Texas",ISNUMBER(SEARCH("V-Edmond:", O24)), "Oklahoma",ISNUMBER(SEARCH("V-Paris:", O24)), "Texas",ISNUMBER(SEARCH("V-RR:", O24)), "Texas",ISNUMBER(SEARCH("V-Sherwood:", O24)), "Arkansas",ISNUMBER(SEARCH("V-WV:", O24)), "Texas",ISNUMBER(SEARCH("HealthCARE Express - Richmond Road", O24)), "Texas",ISNUMBER(SEARCH("HealthCARE Express - Occupational Medicine", O24)), "Texas")</f>
        <v>Texas</v>
      </c>
      <c r="Q24" t="s">
        <v>276</v>
      </c>
      <c r="R24" t="s">
        <v>311</v>
      </c>
      <c r="S24" t="s">
        <v>186</v>
      </c>
      <c r="T24" t="s">
        <v>277</v>
      </c>
      <c r="U24" t="s">
        <v>304</v>
      </c>
      <c r="AI24" t="str">
        <f t="shared" si="0"/>
        <v>Texas/La/DQ/Ark Blvd</v>
      </c>
    </row>
    <row r="25" spans="1:35" x14ac:dyDescent="0.25">
      <c r="A25" t="s">
        <v>205</v>
      </c>
      <c r="B25" t="s">
        <v>183</v>
      </c>
      <c r="C25" t="s">
        <v>184</v>
      </c>
      <c r="D25" t="s">
        <v>206</v>
      </c>
      <c r="E25" t="s">
        <v>186</v>
      </c>
      <c r="F25" t="s">
        <v>19</v>
      </c>
      <c r="G25" t="s">
        <v>207</v>
      </c>
      <c r="H25" t="s">
        <v>22</v>
      </c>
      <c r="I25" t="s">
        <v>22</v>
      </c>
      <c r="J25" t="s">
        <v>22</v>
      </c>
      <c r="K25" t="s">
        <v>207</v>
      </c>
      <c r="L25" t="s">
        <v>208</v>
      </c>
      <c r="M25" t="s">
        <v>189</v>
      </c>
      <c r="N25" t="s">
        <v>209</v>
      </c>
      <c r="O25" t="s">
        <v>283</v>
      </c>
      <c r="P25" t="str" cm="1">
        <f t="array" ref="P25">_xlfn.IFS(ISNUMBER(SEARCH("AEIC:", O25)), "Arkansas",ISNUMBER(SEARCH("STM:", O25)), "Texas",ISNUMBER(SEARCH("BILLING:", O25)), "Texas",ISNUMBER(SEARCH("AM:", O25)), "Texas",ISNUMBER(SEARCH("ARBlvd:", O25)), "Arkansas",ISNUMBER(SEARCH("Atlanta:", O25)), "Texas",ISNUMBER(SEARCH("Blanchard:", O25)), "Louisiana",ISNUMBER(SEARCH("Bryant:", O25)), "Arkansas",ISNUMBER(SEARCH("Choctaw:", O25)), "Oklahoma",ISNUMBER(SEARCH("Choc Allgy:", O25)), "Oklahoma",ISNUMBER(SEARCH("DeQueen:", O25)), "Arkansas",ISNUMBER(SEARCH("Edmond:", O25)), "Oklahoma",ISNUMBER(SEARCH("Edmd Aller:", O25)), "Oklahoma",ISNUMBER(SEARCH("Imaging:", O25)), "Texas",ISNUMBER(SEARCH("Longview:", O25)), "Texas",ISNUMBER(SEARCH("Marshall:", O25)), "Texas",ISNUMBER(SEARCH("Mar Allerg:", O25)), "Texas",ISNUMBER(SEARCH("Maumelle:", O25)), "Arkansas",ISNUMBER(SEARCH("MWC:", O25)), "Oklahoma",ISNUMBER(SEARCH("MWC Allgy:", O25)), "Oklahoma",ISNUMBER(SEARCH("Moore:", O25)), "Oklahoma",ISNUMBER(SEARCH("MooreAllgy:", O25)), "Oklahoma",ISNUMBER(SEARCH("MtPleasant:", O25)), "Texas",ISNUMBER(SEARCH("OccOffsite:", O25)), "Texas",ISNUMBER(SEARCH("Pain Mgmt:", O25)), "Texas",ISNUMBER(SEARCH("Paris:", O25)), "Texas",ISNUMBER(SEARCH("PT:", O25)), "Texas",ISNUMBER(SEARCH("RR Allergy:", O25)), "Texas",ISNUMBER(SEARCH("Sherwood:", O25)), "Arkansas",ISNUMBER(SEARCH("WV:", O25)), "Texas",ISNUMBER(SEARCH("Nur-Home:", O25)), "Texas",ISNUMBER(SEARCH("THC:", O25)), "Texas",ISNUMBER(SEARCH("WVTC:", O25)), "Texas",ISNUMBER(SEARCH("TSC:", O25)), "Texas",ISNUMBER(SEARCH("V-AR Blvd:", O25)), "Arkansas",ISNUMBER(SEARCH("V-Maumelle:", O25)), "Arkansas",ISNUMBER(SEARCH("V-Atlanta:", O25)), "Texas",ISNUMBER(SEARCH("VBlanchard:", O25)), "Louisiana",ISNUMBER(SEARCH("V-Bryant:", O25)), "Arkansas",ISNUMBER(SEARCH("V-Choctaw:", O25)), "Oklahoma",ISNUMBER(SEARCH("V-DeQueen:", O25)), "Arkansas",ISNUMBER(SEARCH("V-Longview:", O25)), "Texas",ISNUMBER(SEARCH("V-Marshall:", O25)), "Texas",ISNUMBER(SEARCH("V-MWC:", O25)), "Oklahoma",ISNUMBER(SEARCH("V-Moore:", O25)), "Oklahoma",ISNUMBER(SEARCH("V-MP:", O25)), "Texas",ISNUMBER(SEARCH("V-Edmond:", O25)), "Oklahoma",ISNUMBER(SEARCH("V-Paris:", O25)), "Texas",ISNUMBER(SEARCH("V-RR:", O25)), "Texas",ISNUMBER(SEARCH("V-Sherwood:", O25)), "Arkansas",ISNUMBER(SEARCH("V-WV:", O25)), "Texas",ISNUMBER(SEARCH("HealthCARE Express - Richmond Road", O25)), "Texas",ISNUMBER(SEARCH("HealthCARE Express - Occupational Medicine", O25)), "Texas")</f>
        <v>Texas</v>
      </c>
      <c r="Q25" t="s">
        <v>276</v>
      </c>
      <c r="R25" t="s">
        <v>311</v>
      </c>
      <c r="S25" t="s">
        <v>186</v>
      </c>
      <c r="T25" t="s">
        <v>316</v>
      </c>
      <c r="U25" t="s">
        <v>317</v>
      </c>
      <c r="V25" t="s">
        <v>304</v>
      </c>
      <c r="AI25" t="str">
        <f t="shared" si="0"/>
        <v>Texas/La/DQ/Ark Blvd</v>
      </c>
    </row>
    <row r="26" spans="1:35" x14ac:dyDescent="0.25">
      <c r="A26" t="s">
        <v>210</v>
      </c>
      <c r="B26" t="s">
        <v>183</v>
      </c>
      <c r="C26" t="s">
        <v>184</v>
      </c>
      <c r="D26" t="s">
        <v>211</v>
      </c>
      <c r="E26" t="s">
        <v>186</v>
      </c>
      <c r="F26" t="s">
        <v>19</v>
      </c>
      <c r="G26" t="s">
        <v>212</v>
      </c>
      <c r="H26" t="s">
        <v>22</v>
      </c>
      <c r="I26" t="s">
        <v>22</v>
      </c>
      <c r="J26" t="s">
        <v>22</v>
      </c>
      <c r="K26" t="s">
        <v>212</v>
      </c>
      <c r="L26" t="s">
        <v>213</v>
      </c>
      <c r="M26" t="s">
        <v>189</v>
      </c>
      <c r="N26" t="s">
        <v>211</v>
      </c>
      <c r="O26" t="s">
        <v>283</v>
      </c>
      <c r="P26" t="str" cm="1">
        <f t="array" ref="P26">_xlfn.IFS(ISNUMBER(SEARCH("AEIC:", O26)), "Arkansas",ISNUMBER(SEARCH("STM:", O26)), "Texas",ISNUMBER(SEARCH("BILLING:", O26)), "Texas",ISNUMBER(SEARCH("AM:", O26)), "Texas",ISNUMBER(SEARCH("ARBlvd:", O26)), "Arkansas",ISNUMBER(SEARCH("Atlanta:", O26)), "Texas",ISNUMBER(SEARCH("Blanchard:", O26)), "Louisiana",ISNUMBER(SEARCH("Bryant:", O26)), "Arkansas",ISNUMBER(SEARCH("Choctaw:", O26)), "Oklahoma",ISNUMBER(SEARCH("Choc Allgy:", O26)), "Oklahoma",ISNUMBER(SEARCH("DeQueen:", O26)), "Arkansas",ISNUMBER(SEARCH("Edmond:", O26)), "Oklahoma",ISNUMBER(SEARCH("Edmd Aller:", O26)), "Oklahoma",ISNUMBER(SEARCH("Imaging:", O26)), "Texas",ISNUMBER(SEARCH("Longview:", O26)), "Texas",ISNUMBER(SEARCH("Marshall:", O26)), "Texas",ISNUMBER(SEARCH("Mar Allerg:", O26)), "Texas",ISNUMBER(SEARCH("Maumelle:", O26)), "Arkansas",ISNUMBER(SEARCH("MWC:", O26)), "Oklahoma",ISNUMBER(SEARCH("MWC Allgy:", O26)), "Oklahoma",ISNUMBER(SEARCH("Moore:", O26)), "Oklahoma",ISNUMBER(SEARCH("MooreAllgy:", O26)), "Oklahoma",ISNUMBER(SEARCH("MtPleasant:", O26)), "Texas",ISNUMBER(SEARCH("OccOffsite:", O26)), "Texas",ISNUMBER(SEARCH("Pain Mgmt:", O26)), "Texas",ISNUMBER(SEARCH("Paris:", O26)), "Texas",ISNUMBER(SEARCH("PT:", O26)), "Texas",ISNUMBER(SEARCH("RR Allergy:", O26)), "Texas",ISNUMBER(SEARCH("Sherwood:", O26)), "Arkansas",ISNUMBER(SEARCH("WV:", O26)), "Texas",ISNUMBER(SEARCH("Nur-Home:", O26)), "Texas",ISNUMBER(SEARCH("THC:", O26)), "Texas",ISNUMBER(SEARCH("WVTC:", O26)), "Texas",ISNUMBER(SEARCH("TSC:", O26)), "Texas",ISNUMBER(SEARCH("V-AR Blvd:", O26)), "Arkansas",ISNUMBER(SEARCH("V-Maumelle:", O26)), "Arkansas",ISNUMBER(SEARCH("V-Atlanta:", O26)), "Texas",ISNUMBER(SEARCH("VBlanchard:", O26)), "Louisiana",ISNUMBER(SEARCH("V-Bryant:", O26)), "Arkansas",ISNUMBER(SEARCH("V-Choctaw:", O26)), "Oklahoma",ISNUMBER(SEARCH("V-DeQueen:", O26)), "Arkansas",ISNUMBER(SEARCH("V-Longview:", O26)), "Texas",ISNUMBER(SEARCH("V-Marshall:", O26)), "Texas",ISNUMBER(SEARCH("V-MWC:", O26)), "Oklahoma",ISNUMBER(SEARCH("V-Moore:", O26)), "Oklahoma",ISNUMBER(SEARCH("V-MP:", O26)), "Texas",ISNUMBER(SEARCH("V-Edmond:", O26)), "Oklahoma",ISNUMBER(SEARCH("V-Paris:", O26)), "Texas",ISNUMBER(SEARCH("V-RR:", O26)), "Texas",ISNUMBER(SEARCH("V-Sherwood:", O26)), "Arkansas",ISNUMBER(SEARCH("V-WV:", O26)), "Texas",ISNUMBER(SEARCH("HealthCARE Express - Richmond Road", O26)), "Texas",ISNUMBER(SEARCH("HealthCARE Express - Occupational Medicine", O26)), "Texas")</f>
        <v>Texas</v>
      </c>
      <c r="Q26" t="s">
        <v>276</v>
      </c>
      <c r="R26" t="s">
        <v>311</v>
      </c>
      <c r="S26" t="s">
        <v>186</v>
      </c>
      <c r="T26" t="s">
        <v>277</v>
      </c>
      <c r="U26" t="s">
        <v>285</v>
      </c>
      <c r="V26" t="s">
        <v>299</v>
      </c>
      <c r="W26" t="s">
        <v>280</v>
      </c>
      <c r="X26" t="s">
        <v>281</v>
      </c>
      <c r="Y26" t="s">
        <v>282</v>
      </c>
      <c r="AI26" t="str">
        <f t="shared" si="0"/>
        <v>Texas/La/DQ/Ark Blvd</v>
      </c>
    </row>
    <row r="27" spans="1:35" x14ac:dyDescent="0.25">
      <c r="A27" t="s">
        <v>214</v>
      </c>
      <c r="B27" t="s">
        <v>183</v>
      </c>
      <c r="C27" t="s">
        <v>215</v>
      </c>
      <c r="D27" t="s">
        <v>216</v>
      </c>
      <c r="E27" t="s">
        <v>186</v>
      </c>
      <c r="F27" t="s">
        <v>19</v>
      </c>
      <c r="G27" t="s">
        <v>217</v>
      </c>
      <c r="H27" t="s">
        <v>22</v>
      </c>
      <c r="I27" t="s">
        <v>22</v>
      </c>
      <c r="J27" t="s">
        <v>22</v>
      </c>
      <c r="K27" t="s">
        <v>217</v>
      </c>
      <c r="L27" t="s">
        <v>218</v>
      </c>
      <c r="M27" t="s">
        <v>219</v>
      </c>
      <c r="N27" t="s">
        <v>220</v>
      </c>
      <c r="O27" t="s">
        <v>318</v>
      </c>
      <c r="P27" t="str" cm="1">
        <f t="array" ref="P27">_xlfn.IFS(ISNUMBER(SEARCH("AEIC:", O27)), "Arkansas",ISNUMBER(SEARCH("STM:", O27)), "Texas",ISNUMBER(SEARCH("BILLING:", O27)), "Texas",ISNUMBER(SEARCH("AM:", O27)), "Texas",ISNUMBER(SEARCH("ARBlvd:", O27)), "Arkansas",ISNUMBER(SEARCH("Atlanta:", O27)), "Texas",ISNUMBER(SEARCH("Blanchard:", O27)), "Louisiana",ISNUMBER(SEARCH("Bryant:", O27)), "Arkansas",ISNUMBER(SEARCH("Choctaw:", O27)), "Oklahoma",ISNUMBER(SEARCH("Choc Allgy:", O27)), "Oklahoma",ISNUMBER(SEARCH("DeQueen:", O27)), "Arkansas",ISNUMBER(SEARCH("Edmond:", O27)), "Oklahoma",ISNUMBER(SEARCH("Edmd Aller:", O27)), "Oklahoma",ISNUMBER(SEARCH("Imaging:", O27)), "Texas",ISNUMBER(SEARCH("Longview:", O27)), "Texas",ISNUMBER(SEARCH("Marshall:", O27)), "Texas",ISNUMBER(SEARCH("Mar Allerg:", O27)), "Texas",ISNUMBER(SEARCH("Maumelle:", O27)), "Arkansas",ISNUMBER(SEARCH("MWC:", O27)), "Oklahoma",ISNUMBER(SEARCH("MWC Allgy:", O27)), "Oklahoma",ISNUMBER(SEARCH("Moore:", O27)), "Oklahoma",ISNUMBER(SEARCH("MooreAllgy:", O27)), "Oklahoma",ISNUMBER(SEARCH("MtPleasant:", O27)), "Texas",ISNUMBER(SEARCH("OccOffsite:", O27)), "Texas",ISNUMBER(SEARCH("Pain Mgmt:", O27)), "Texas",ISNUMBER(SEARCH("Paris:", O27)), "Texas",ISNUMBER(SEARCH("PT:", O27)), "Texas",ISNUMBER(SEARCH("RR Allergy:", O27)), "Texas",ISNUMBER(SEARCH("Sherwood:", O27)), "Arkansas",ISNUMBER(SEARCH("WV:", O27)), "Texas",ISNUMBER(SEARCH("Nur-Home:", O27)), "Texas",ISNUMBER(SEARCH("THC:", O27)), "Texas",ISNUMBER(SEARCH("WVTC:", O27)), "Texas",ISNUMBER(SEARCH("TSC:", O27)), "Texas",ISNUMBER(SEARCH("V-AR Blvd:", O27)), "Arkansas",ISNUMBER(SEARCH("V-Maumelle:", O27)), "Arkansas",ISNUMBER(SEARCH("V-Atlanta:", O27)), "Texas",ISNUMBER(SEARCH("VBlanchard:", O27)), "Louisiana",ISNUMBER(SEARCH("V-Bryant:", O27)), "Arkansas",ISNUMBER(SEARCH("V-Choctaw:", O27)), "Oklahoma",ISNUMBER(SEARCH("V-DeQueen:", O27)), "Arkansas",ISNUMBER(SEARCH("V-Longview:", O27)), "Texas",ISNUMBER(SEARCH("V-Marshall:", O27)), "Texas",ISNUMBER(SEARCH("V-MWC:", O27)), "Oklahoma",ISNUMBER(SEARCH("V-Moore:", O27)), "Oklahoma",ISNUMBER(SEARCH("V-MP:", O27)), "Texas",ISNUMBER(SEARCH("V-Edmond:", O27)), "Oklahoma",ISNUMBER(SEARCH("V-Paris:", O27)), "Texas",ISNUMBER(SEARCH("V-RR:", O27)), "Texas",ISNUMBER(SEARCH("V-Sherwood:", O27)), "Arkansas",ISNUMBER(SEARCH("V-WV:", O27)), "Texas",ISNUMBER(SEARCH("HealthCARE Express - Richmond Road", O27)), "Texas",ISNUMBER(SEARCH("HealthCARE Express - Occupational Medicine", O27)), "Texas")</f>
        <v>Texas</v>
      </c>
      <c r="Q27" t="s">
        <v>276</v>
      </c>
      <c r="R27" t="s">
        <v>311</v>
      </c>
      <c r="S27" t="s">
        <v>186</v>
      </c>
      <c r="T27" t="s">
        <v>277</v>
      </c>
      <c r="U27" t="s">
        <v>309</v>
      </c>
      <c r="V27" t="s">
        <v>281</v>
      </c>
      <c r="AI27" t="str">
        <f t="shared" si="0"/>
        <v>Texas/La/DQ/Ark Blvd</v>
      </c>
    </row>
    <row r="28" spans="1:35" x14ac:dyDescent="0.25">
      <c r="A28" t="s">
        <v>221</v>
      </c>
      <c r="B28" t="s">
        <v>183</v>
      </c>
      <c r="C28" t="s">
        <v>184</v>
      </c>
      <c r="D28" t="s">
        <v>222</v>
      </c>
      <c r="E28" t="s">
        <v>186</v>
      </c>
      <c r="F28" t="s">
        <v>19</v>
      </c>
      <c r="G28" t="s">
        <v>223</v>
      </c>
      <c r="H28" t="s">
        <v>22</v>
      </c>
      <c r="I28" t="s">
        <v>22</v>
      </c>
      <c r="J28" t="s">
        <v>22</v>
      </c>
      <c r="K28" t="s">
        <v>223</v>
      </c>
      <c r="L28" t="s">
        <v>224</v>
      </c>
      <c r="M28" t="s">
        <v>189</v>
      </c>
      <c r="N28" t="s">
        <v>225</v>
      </c>
      <c r="O28" t="s">
        <v>283</v>
      </c>
      <c r="P28" t="str" cm="1">
        <f t="array" ref="P28">_xlfn.IFS(ISNUMBER(SEARCH("AEIC:", O28)), "Arkansas",ISNUMBER(SEARCH("STM:", O28)), "Texas",ISNUMBER(SEARCH("BILLING:", O28)), "Texas",ISNUMBER(SEARCH("AM:", O28)), "Texas",ISNUMBER(SEARCH("ARBlvd:", O28)), "Arkansas",ISNUMBER(SEARCH("Atlanta:", O28)), "Texas",ISNUMBER(SEARCH("Blanchard:", O28)), "Louisiana",ISNUMBER(SEARCH("Bryant:", O28)), "Arkansas",ISNUMBER(SEARCH("Choctaw:", O28)), "Oklahoma",ISNUMBER(SEARCH("Choc Allgy:", O28)), "Oklahoma",ISNUMBER(SEARCH("DeQueen:", O28)), "Arkansas",ISNUMBER(SEARCH("Edmond:", O28)), "Oklahoma",ISNUMBER(SEARCH("Edmd Aller:", O28)), "Oklahoma",ISNUMBER(SEARCH("Imaging:", O28)), "Texas",ISNUMBER(SEARCH("Longview:", O28)), "Texas",ISNUMBER(SEARCH("Marshall:", O28)), "Texas",ISNUMBER(SEARCH("Mar Allerg:", O28)), "Texas",ISNUMBER(SEARCH("Maumelle:", O28)), "Arkansas",ISNUMBER(SEARCH("MWC:", O28)), "Oklahoma",ISNUMBER(SEARCH("MWC Allgy:", O28)), "Oklahoma",ISNUMBER(SEARCH("Moore:", O28)), "Oklahoma",ISNUMBER(SEARCH("MooreAllgy:", O28)), "Oklahoma",ISNUMBER(SEARCH("MtPleasant:", O28)), "Texas",ISNUMBER(SEARCH("OccOffsite:", O28)), "Texas",ISNUMBER(SEARCH("Pain Mgmt:", O28)), "Texas",ISNUMBER(SEARCH("Paris:", O28)), "Texas",ISNUMBER(SEARCH("PT:", O28)), "Texas",ISNUMBER(SEARCH("RR Allergy:", O28)), "Texas",ISNUMBER(SEARCH("Sherwood:", O28)), "Arkansas",ISNUMBER(SEARCH("WV:", O28)), "Texas",ISNUMBER(SEARCH("Nur-Home:", O28)), "Texas",ISNUMBER(SEARCH("THC:", O28)), "Texas",ISNUMBER(SEARCH("WVTC:", O28)), "Texas",ISNUMBER(SEARCH("TSC:", O28)), "Texas",ISNUMBER(SEARCH("V-AR Blvd:", O28)), "Arkansas",ISNUMBER(SEARCH("V-Maumelle:", O28)), "Arkansas",ISNUMBER(SEARCH("V-Atlanta:", O28)), "Texas",ISNUMBER(SEARCH("VBlanchard:", O28)), "Louisiana",ISNUMBER(SEARCH("V-Bryant:", O28)), "Arkansas",ISNUMBER(SEARCH("V-Choctaw:", O28)), "Oklahoma",ISNUMBER(SEARCH("V-DeQueen:", O28)), "Arkansas",ISNUMBER(SEARCH("V-Longview:", O28)), "Texas",ISNUMBER(SEARCH("V-Marshall:", O28)), "Texas",ISNUMBER(SEARCH("V-MWC:", O28)), "Oklahoma",ISNUMBER(SEARCH("V-Moore:", O28)), "Oklahoma",ISNUMBER(SEARCH("V-MP:", O28)), "Texas",ISNUMBER(SEARCH("V-Edmond:", O28)), "Oklahoma",ISNUMBER(SEARCH("V-Paris:", O28)), "Texas",ISNUMBER(SEARCH("V-RR:", O28)), "Texas",ISNUMBER(SEARCH("V-Sherwood:", O28)), "Arkansas",ISNUMBER(SEARCH("V-WV:", O28)), "Texas",ISNUMBER(SEARCH("HealthCARE Express - Richmond Road", O28)), "Texas",ISNUMBER(SEARCH("HealthCARE Express - Occupational Medicine", O28)), "Texas")</f>
        <v>Texas</v>
      </c>
      <c r="Q28" t="s">
        <v>276</v>
      </c>
      <c r="R28" t="s">
        <v>311</v>
      </c>
      <c r="S28" t="s">
        <v>186</v>
      </c>
      <c r="T28" t="s">
        <v>277</v>
      </c>
      <c r="U28" t="s">
        <v>285</v>
      </c>
      <c r="V28" t="s">
        <v>304</v>
      </c>
      <c r="AI28" t="str">
        <f t="shared" si="0"/>
        <v>Texas/La/DQ/Ark Blvd</v>
      </c>
    </row>
    <row r="29" spans="1:35" x14ac:dyDescent="0.25">
      <c r="A29" t="s">
        <v>226</v>
      </c>
      <c r="B29" t="s">
        <v>227</v>
      </c>
      <c r="C29" t="s">
        <v>60</v>
      </c>
      <c r="D29" t="s">
        <v>228</v>
      </c>
      <c r="E29" t="s">
        <v>186</v>
      </c>
      <c r="F29" t="s">
        <v>19</v>
      </c>
      <c r="G29" t="s">
        <v>229</v>
      </c>
      <c r="H29" t="s">
        <v>22</v>
      </c>
      <c r="I29" t="s">
        <v>22</v>
      </c>
      <c r="J29" t="s">
        <v>22</v>
      </c>
      <c r="K29" t="s">
        <v>229</v>
      </c>
      <c r="L29" t="s">
        <v>230</v>
      </c>
      <c r="M29" t="s">
        <v>67</v>
      </c>
      <c r="N29" t="s">
        <v>231</v>
      </c>
      <c r="O29" t="s">
        <v>307</v>
      </c>
      <c r="P29" t="str" cm="1">
        <f t="array" ref="P29">_xlfn.IFS(ISNUMBER(SEARCH("AEIC:", O29)), "Arkansas",ISNUMBER(SEARCH("STM:", O29)), "Texas",ISNUMBER(SEARCH("BILLING:", O29)), "Texas",ISNUMBER(SEARCH("AM:", O29)), "Texas",ISNUMBER(SEARCH("ARBlvd:", O29)), "Arkansas",ISNUMBER(SEARCH("Atlanta:", O29)), "Texas",ISNUMBER(SEARCH("Blanchard:", O29)), "Louisiana",ISNUMBER(SEARCH("Bryant:", O29)), "Arkansas",ISNUMBER(SEARCH("Choctaw:", O29)), "Oklahoma",ISNUMBER(SEARCH("Choc Allgy:", O29)), "Oklahoma",ISNUMBER(SEARCH("DeQueen:", O29)), "Arkansas",ISNUMBER(SEARCH("Edmond:", O29)), "Oklahoma",ISNUMBER(SEARCH("Edmd Aller:", O29)), "Oklahoma",ISNUMBER(SEARCH("Imaging:", O29)), "Texas",ISNUMBER(SEARCH("Longview:", O29)), "Texas",ISNUMBER(SEARCH("Marshall:", O29)), "Texas",ISNUMBER(SEARCH("Mar Allerg:", O29)), "Texas",ISNUMBER(SEARCH("Maumelle:", O29)), "Arkansas",ISNUMBER(SEARCH("MWC:", O29)), "Oklahoma",ISNUMBER(SEARCH("MWC Allgy:", O29)), "Oklahoma",ISNUMBER(SEARCH("Moore:", O29)), "Oklahoma",ISNUMBER(SEARCH("MooreAllgy:", O29)), "Oklahoma",ISNUMBER(SEARCH("MtPleasant:", O29)), "Texas",ISNUMBER(SEARCH("OccOffsite:", O29)), "Texas",ISNUMBER(SEARCH("Pain Mgmt:", O29)), "Texas",ISNUMBER(SEARCH("Paris:", O29)), "Texas",ISNUMBER(SEARCH("PT:", O29)), "Texas",ISNUMBER(SEARCH("RR Allergy:", O29)), "Texas",ISNUMBER(SEARCH("Sherwood:", O29)), "Arkansas",ISNUMBER(SEARCH("WV:", O29)), "Texas",ISNUMBER(SEARCH("Nur-Home:", O29)), "Texas",ISNUMBER(SEARCH("THC:", O29)), "Texas",ISNUMBER(SEARCH("WVTC:", O29)), "Texas",ISNUMBER(SEARCH("TSC:", O29)), "Texas",ISNUMBER(SEARCH("V-AR Blvd:", O29)), "Arkansas",ISNUMBER(SEARCH("V-Maumelle:", O29)), "Arkansas",ISNUMBER(SEARCH("V-Atlanta:", O29)), "Texas",ISNUMBER(SEARCH("VBlanchard:", O29)), "Louisiana",ISNUMBER(SEARCH("V-Bryant:", O29)), "Arkansas",ISNUMBER(SEARCH("V-Choctaw:", O29)), "Oklahoma",ISNUMBER(SEARCH("V-DeQueen:", O29)), "Arkansas",ISNUMBER(SEARCH("V-Longview:", O29)), "Texas",ISNUMBER(SEARCH("V-Marshall:", O29)), "Texas",ISNUMBER(SEARCH("V-MWC:", O29)), "Oklahoma",ISNUMBER(SEARCH("V-Moore:", O29)), "Oklahoma",ISNUMBER(SEARCH("V-MP:", O29)), "Texas",ISNUMBER(SEARCH("V-Edmond:", O29)), "Oklahoma",ISNUMBER(SEARCH("V-Paris:", O29)), "Texas",ISNUMBER(SEARCH("V-RR:", O29)), "Texas",ISNUMBER(SEARCH("V-Sherwood:", O29)), "Arkansas",ISNUMBER(SEARCH("V-WV:", O29)), "Texas",ISNUMBER(SEARCH("HealthCARE Express - Richmond Road", O29)), "Texas",ISNUMBER(SEARCH("HealthCARE Express - Occupational Medicine", O29)), "Texas")</f>
        <v>Texas</v>
      </c>
      <c r="Q29" t="s">
        <v>276</v>
      </c>
      <c r="R29" t="s">
        <v>311</v>
      </c>
      <c r="S29" t="s">
        <v>186</v>
      </c>
      <c r="T29" t="s">
        <v>277</v>
      </c>
      <c r="U29" t="s">
        <v>285</v>
      </c>
      <c r="V29" t="s">
        <v>309</v>
      </c>
      <c r="W29" t="s">
        <v>281</v>
      </c>
      <c r="X29" t="s">
        <v>282</v>
      </c>
      <c r="AI29" t="str">
        <f t="shared" si="0"/>
        <v>-</v>
      </c>
    </row>
    <row r="30" spans="1:35" x14ac:dyDescent="0.25">
      <c r="A30" t="s">
        <v>232</v>
      </c>
      <c r="B30" t="s">
        <v>227</v>
      </c>
      <c r="C30" t="s">
        <v>39</v>
      </c>
      <c r="D30" t="s">
        <v>233</v>
      </c>
      <c r="E30" t="s">
        <v>148</v>
      </c>
      <c r="F30" t="s">
        <v>19</v>
      </c>
      <c r="G30" t="s">
        <v>223</v>
      </c>
      <c r="H30" t="s">
        <v>22</v>
      </c>
      <c r="I30" t="s">
        <v>22</v>
      </c>
      <c r="J30" t="s">
        <v>22</v>
      </c>
      <c r="K30" t="s">
        <v>223</v>
      </c>
      <c r="L30" t="s">
        <v>234</v>
      </c>
      <c r="M30" t="s">
        <v>46</v>
      </c>
      <c r="N30" t="s">
        <v>233</v>
      </c>
      <c r="O30" t="s">
        <v>288</v>
      </c>
      <c r="P30" t="str" cm="1">
        <f t="array" ref="P30">_xlfn.IFS(ISNUMBER(SEARCH("AEIC:", O30)), "Arkansas",ISNUMBER(SEARCH("STM:", O30)), "Texas",ISNUMBER(SEARCH("BILLING:", O30)), "Texas",ISNUMBER(SEARCH("AM:", O30)), "Texas",ISNUMBER(SEARCH("ARBlvd:", O30)), "Arkansas",ISNUMBER(SEARCH("Atlanta:", O30)), "Texas",ISNUMBER(SEARCH("Blanchard:", O30)), "Louisiana",ISNUMBER(SEARCH("Bryant:", O30)), "Arkansas",ISNUMBER(SEARCH("Choctaw:", O30)), "Oklahoma",ISNUMBER(SEARCH("Choc Allgy:", O30)), "Oklahoma",ISNUMBER(SEARCH("DeQueen:", O30)), "Arkansas",ISNUMBER(SEARCH("Edmond:", O30)), "Oklahoma",ISNUMBER(SEARCH("Edmd Aller:", O30)), "Oklahoma",ISNUMBER(SEARCH("Imaging:", O30)), "Texas",ISNUMBER(SEARCH("Longview:", O30)), "Texas",ISNUMBER(SEARCH("Marshall:", O30)), "Texas",ISNUMBER(SEARCH("Mar Allerg:", O30)), "Texas",ISNUMBER(SEARCH("Maumelle:", O30)), "Arkansas",ISNUMBER(SEARCH("MWC:", O30)), "Oklahoma",ISNUMBER(SEARCH("MWC Allgy:", O30)), "Oklahoma",ISNUMBER(SEARCH("Moore:", O30)), "Oklahoma",ISNUMBER(SEARCH("MooreAllgy:", O30)), "Oklahoma",ISNUMBER(SEARCH("MtPleasant:", O30)), "Texas",ISNUMBER(SEARCH("OccOffsite:", O30)), "Texas",ISNUMBER(SEARCH("Pain Mgmt:", O30)), "Texas",ISNUMBER(SEARCH("Paris:", O30)), "Texas",ISNUMBER(SEARCH("PT:", O30)), "Texas",ISNUMBER(SEARCH("RR Allergy:", O30)), "Texas",ISNUMBER(SEARCH("Sherwood:", O30)), "Arkansas",ISNUMBER(SEARCH("WV:", O30)), "Texas",ISNUMBER(SEARCH("Nur-Home:", O30)), "Texas",ISNUMBER(SEARCH("THC:", O30)), "Texas",ISNUMBER(SEARCH("WVTC:", O30)), "Texas",ISNUMBER(SEARCH("TSC:", O30)), "Texas",ISNUMBER(SEARCH("V-AR Blvd:", O30)), "Arkansas",ISNUMBER(SEARCH("V-Maumelle:", O30)), "Arkansas",ISNUMBER(SEARCH("V-Atlanta:", O30)), "Texas",ISNUMBER(SEARCH("VBlanchard:", O30)), "Louisiana",ISNUMBER(SEARCH("V-Bryant:", O30)), "Arkansas",ISNUMBER(SEARCH("V-Choctaw:", O30)), "Oklahoma",ISNUMBER(SEARCH("V-DeQueen:", O30)), "Arkansas",ISNUMBER(SEARCH("V-Longview:", O30)), "Texas",ISNUMBER(SEARCH("V-Marshall:", O30)), "Texas",ISNUMBER(SEARCH("V-MWC:", O30)), "Oklahoma",ISNUMBER(SEARCH("V-Moore:", O30)), "Oklahoma",ISNUMBER(SEARCH("V-MP:", O30)), "Texas",ISNUMBER(SEARCH("V-Edmond:", O30)), "Oklahoma",ISNUMBER(SEARCH("V-Paris:", O30)), "Texas",ISNUMBER(SEARCH("V-RR:", O30)), "Texas",ISNUMBER(SEARCH("V-Sherwood:", O30)), "Arkansas",ISNUMBER(SEARCH("V-WV:", O30)), "Texas",ISNUMBER(SEARCH("HealthCARE Express - Richmond Road", O30)), "Texas",ISNUMBER(SEARCH("HealthCARE Express - Occupational Medicine", O30)), "Texas")</f>
        <v>Arkansas</v>
      </c>
      <c r="Q30" t="s">
        <v>308</v>
      </c>
      <c r="R30" t="s">
        <v>312</v>
      </c>
      <c r="S30" t="s">
        <v>148</v>
      </c>
      <c r="T30" t="s">
        <v>277</v>
      </c>
      <c r="U30" t="s">
        <v>285</v>
      </c>
      <c r="V30" t="s">
        <v>304</v>
      </c>
      <c r="AI30" t="str">
        <f t="shared" si="0"/>
        <v>Little Rock Region</v>
      </c>
    </row>
    <row r="31" spans="1:35" x14ac:dyDescent="0.25">
      <c r="A31" t="s">
        <v>235</v>
      </c>
      <c r="B31" t="s">
        <v>227</v>
      </c>
      <c r="C31" t="s">
        <v>82</v>
      </c>
      <c r="D31" t="s">
        <v>236</v>
      </c>
      <c r="E31" t="s">
        <v>186</v>
      </c>
      <c r="F31" t="s">
        <v>19</v>
      </c>
      <c r="G31" t="s">
        <v>237</v>
      </c>
      <c r="H31" t="s">
        <v>22</v>
      </c>
      <c r="I31" t="s">
        <v>22</v>
      </c>
      <c r="J31" t="s">
        <v>22</v>
      </c>
      <c r="K31" t="s">
        <v>237</v>
      </c>
      <c r="L31" t="s">
        <v>238</v>
      </c>
      <c r="M31" t="s">
        <v>86</v>
      </c>
      <c r="N31" t="s">
        <v>236</v>
      </c>
      <c r="O31" t="s">
        <v>298</v>
      </c>
      <c r="P31" t="str" cm="1">
        <f t="array" ref="P31">_xlfn.IFS(ISNUMBER(SEARCH("AEIC:", O31)), "Arkansas",ISNUMBER(SEARCH("STM:", O31)), "Texas",ISNUMBER(SEARCH("BILLING:", O31)), "Texas",ISNUMBER(SEARCH("AM:", O31)), "Texas",ISNUMBER(SEARCH("ARBlvd:", O31)), "Arkansas",ISNUMBER(SEARCH("Atlanta:", O31)), "Texas",ISNUMBER(SEARCH("Blanchard:", O31)), "Louisiana",ISNUMBER(SEARCH("Bryant:", O31)), "Arkansas",ISNUMBER(SEARCH("Choctaw:", O31)), "Oklahoma",ISNUMBER(SEARCH("Choc Allgy:", O31)), "Oklahoma",ISNUMBER(SEARCH("DeQueen:", O31)), "Arkansas",ISNUMBER(SEARCH("Edmond:", O31)), "Oklahoma",ISNUMBER(SEARCH("Edmd Aller:", O31)), "Oklahoma",ISNUMBER(SEARCH("Imaging:", O31)), "Texas",ISNUMBER(SEARCH("Longview:", O31)), "Texas",ISNUMBER(SEARCH("Marshall:", O31)), "Texas",ISNUMBER(SEARCH("Mar Allerg:", O31)), "Texas",ISNUMBER(SEARCH("Maumelle:", O31)), "Arkansas",ISNUMBER(SEARCH("MWC:", O31)), "Oklahoma",ISNUMBER(SEARCH("MWC Allgy:", O31)), "Oklahoma",ISNUMBER(SEARCH("Moore:", O31)), "Oklahoma",ISNUMBER(SEARCH("MooreAllgy:", O31)), "Oklahoma",ISNUMBER(SEARCH("MtPleasant:", O31)), "Texas",ISNUMBER(SEARCH("OccOffsite:", O31)), "Texas",ISNUMBER(SEARCH("Pain Mgmt:", O31)), "Texas",ISNUMBER(SEARCH("Paris:", O31)), "Texas",ISNUMBER(SEARCH("PT:", O31)), "Texas",ISNUMBER(SEARCH("RR Allergy:", O31)), "Texas",ISNUMBER(SEARCH("Sherwood:", O31)), "Arkansas",ISNUMBER(SEARCH("WV:", O31)), "Texas",ISNUMBER(SEARCH("Nur-Home:", O31)), "Texas",ISNUMBER(SEARCH("THC:", O31)), "Texas",ISNUMBER(SEARCH("WVTC:", O31)), "Texas",ISNUMBER(SEARCH("TSC:", O31)), "Texas",ISNUMBER(SEARCH("V-AR Blvd:", O31)), "Arkansas",ISNUMBER(SEARCH("V-Maumelle:", O31)), "Arkansas",ISNUMBER(SEARCH("V-Atlanta:", O31)), "Texas",ISNUMBER(SEARCH("VBlanchard:", O31)), "Louisiana",ISNUMBER(SEARCH("V-Bryant:", O31)), "Arkansas",ISNUMBER(SEARCH("V-Choctaw:", O31)), "Oklahoma",ISNUMBER(SEARCH("V-DeQueen:", O31)), "Arkansas",ISNUMBER(SEARCH("V-Longview:", O31)), "Texas",ISNUMBER(SEARCH("V-Marshall:", O31)), "Texas",ISNUMBER(SEARCH("V-MWC:", O31)), "Oklahoma",ISNUMBER(SEARCH("V-Moore:", O31)), "Oklahoma",ISNUMBER(SEARCH("V-MP:", O31)), "Texas",ISNUMBER(SEARCH("V-Edmond:", O31)), "Oklahoma",ISNUMBER(SEARCH("V-Paris:", O31)), "Texas",ISNUMBER(SEARCH("V-RR:", O31)), "Texas",ISNUMBER(SEARCH("V-Sherwood:", O31)), "Arkansas",ISNUMBER(SEARCH("V-WV:", O31)), "Texas",ISNUMBER(SEARCH("HealthCARE Express - Richmond Road", O31)), "Texas",ISNUMBER(SEARCH("HealthCARE Express - Occupational Medicine", O31)), "Texas")</f>
        <v>Texas</v>
      </c>
      <c r="Q31" t="s">
        <v>276</v>
      </c>
      <c r="R31" t="s">
        <v>311</v>
      </c>
      <c r="S31" t="s">
        <v>186</v>
      </c>
      <c r="T31" t="s">
        <v>302</v>
      </c>
      <c r="AI31" t="str">
        <f t="shared" si="0"/>
        <v>Texas/La/DQ/Ark Blvd</v>
      </c>
    </row>
    <row r="32" spans="1:35" x14ac:dyDescent="0.25">
      <c r="A32" t="s">
        <v>239</v>
      </c>
      <c r="B32" t="s">
        <v>227</v>
      </c>
      <c r="C32" t="s">
        <v>240</v>
      </c>
      <c r="D32" t="s">
        <v>241</v>
      </c>
      <c r="E32" t="s">
        <v>186</v>
      </c>
      <c r="F32" t="s">
        <v>19</v>
      </c>
      <c r="G32" t="s">
        <v>242</v>
      </c>
      <c r="H32" t="s">
        <v>22</v>
      </c>
      <c r="I32" t="s">
        <v>22</v>
      </c>
      <c r="J32" t="s">
        <v>22</v>
      </c>
      <c r="K32" t="s">
        <v>242</v>
      </c>
      <c r="L32" t="s">
        <v>243</v>
      </c>
      <c r="M32" t="s">
        <v>244</v>
      </c>
      <c r="N32" t="s">
        <v>241</v>
      </c>
    </row>
    <row r="33" spans="1:14" x14ac:dyDescent="0.25">
      <c r="A33" t="s">
        <v>245</v>
      </c>
      <c r="B33" t="s">
        <v>227</v>
      </c>
      <c r="C33" t="s">
        <v>240</v>
      </c>
      <c r="D33" t="s">
        <v>246</v>
      </c>
      <c r="E33" t="s">
        <v>186</v>
      </c>
      <c r="F33" t="s">
        <v>19</v>
      </c>
      <c r="G33" t="s">
        <v>247</v>
      </c>
      <c r="H33" t="s">
        <v>22</v>
      </c>
      <c r="I33" t="s">
        <v>22</v>
      </c>
      <c r="J33" t="s">
        <v>22</v>
      </c>
      <c r="K33" t="s">
        <v>247</v>
      </c>
      <c r="L33" t="s">
        <v>248</v>
      </c>
      <c r="M33" t="s">
        <v>244</v>
      </c>
      <c r="N33" t="s">
        <v>246</v>
      </c>
    </row>
    <row r="34" spans="1:14" x14ac:dyDescent="0.25">
      <c r="A34" t="s">
        <v>249</v>
      </c>
      <c r="B34" t="s">
        <v>227</v>
      </c>
      <c r="C34" t="s">
        <v>49</v>
      </c>
      <c r="D34" t="s">
        <v>250</v>
      </c>
      <c r="E34" t="s">
        <v>186</v>
      </c>
      <c r="F34" t="s">
        <v>19</v>
      </c>
      <c r="G34" t="s">
        <v>156</v>
      </c>
      <c r="H34" t="s">
        <v>22</v>
      </c>
      <c r="I34" t="s">
        <v>22</v>
      </c>
      <c r="J34" t="s">
        <v>22</v>
      </c>
      <c r="K34" t="s">
        <v>156</v>
      </c>
      <c r="L34" t="s">
        <v>251</v>
      </c>
      <c r="M34" t="s">
        <v>56</v>
      </c>
      <c r="N34" t="s">
        <v>250</v>
      </c>
    </row>
    <row r="35" spans="1:14" x14ac:dyDescent="0.25">
      <c r="A35" t="s">
        <v>252</v>
      </c>
      <c r="B35" t="s">
        <v>227</v>
      </c>
      <c r="C35" t="s">
        <v>82</v>
      </c>
      <c r="D35" t="s">
        <v>253</v>
      </c>
      <c r="E35" t="s">
        <v>186</v>
      </c>
      <c r="F35" t="s">
        <v>19</v>
      </c>
      <c r="G35" t="s">
        <v>202</v>
      </c>
      <c r="H35" t="s">
        <v>22</v>
      </c>
      <c r="I35" t="s">
        <v>22</v>
      </c>
      <c r="J35" t="s">
        <v>22</v>
      </c>
      <c r="K35" t="s">
        <v>202</v>
      </c>
      <c r="L35" t="s">
        <v>254</v>
      </c>
      <c r="M35" t="s">
        <v>86</v>
      </c>
      <c r="N35"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ModifiedSheet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Umesh Katakam</cp:lastModifiedBy>
  <dcterms:created xsi:type="dcterms:W3CDTF">2025-01-09T03:30:15Z</dcterms:created>
  <dcterms:modified xsi:type="dcterms:W3CDTF">2025-01-09T04:38:32Z</dcterms:modified>
</cp:coreProperties>
</file>