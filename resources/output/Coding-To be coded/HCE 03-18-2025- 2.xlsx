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UmeshK\Documents\Coding-To be coded\"/>
    </mc:Choice>
  </mc:AlternateContent>
  <xr:revisionPtr revIDLastSave="0" documentId="13_ncr:1_{5A9086F0-4860-4B2A-B5C7-DD68030F8D4C}" xr6:coauthVersionLast="47" xr6:coauthVersionMax="47" xr10:uidLastSave="{00000000-0000-0000-0000-000000000000}"/>
  <bookViews>
    <workbookView xWindow="-108" yWindow="-108" windowWidth="23256" windowHeight="12576" xr2:uid="{00000000-000D-0000-FFFF-FFFF00000000}"/>
  </bookViews>
  <sheets>
    <sheet name="Modified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43" i="1" l="1"/>
  <c r="AH143" i="1" s="1"/>
  <c r="AF143" i="1"/>
  <c r="AF143" i="1" a="1"/>
  <c r="AG142" i="1"/>
  <c r="AH142" i="1" s="1"/>
  <c r="AF142" i="1"/>
  <c r="AF142" i="1" a="1"/>
  <c r="AG141" i="1"/>
  <c r="AH141" i="1" s="1"/>
  <c r="AF141" i="1" a="1"/>
  <c r="AF141" i="1" s="1"/>
  <c r="AG140" i="1"/>
  <c r="AH140" i="1" s="1"/>
  <c r="AF140" i="1" a="1"/>
  <c r="AF140" i="1" s="1"/>
  <c r="AG139" i="1"/>
  <c r="AH139" i="1" s="1"/>
  <c r="AF139" i="1" a="1"/>
  <c r="AF139" i="1" s="1"/>
  <c r="AG138" i="1"/>
  <c r="AH138" i="1" s="1"/>
  <c r="AF138" i="1"/>
  <c r="AF138" i="1" a="1"/>
  <c r="AG137" i="1"/>
  <c r="AH137" i="1" s="1"/>
  <c r="AF137" i="1"/>
  <c r="AF137" i="1" a="1"/>
  <c r="AG136" i="1"/>
  <c r="AH136" i="1" s="1"/>
  <c r="AF136" i="1" a="1"/>
  <c r="AF136" i="1" s="1"/>
  <c r="AG135" i="1"/>
  <c r="AH135" i="1" s="1"/>
  <c r="AF135" i="1" a="1"/>
  <c r="AF135" i="1" s="1"/>
  <c r="AG134" i="1"/>
  <c r="AH134" i="1" s="1"/>
  <c r="AF134" i="1" a="1"/>
  <c r="AF134" i="1" s="1"/>
  <c r="AG133" i="1"/>
  <c r="AH133" i="1" s="1"/>
  <c r="AF133" i="1"/>
  <c r="AF133" i="1" a="1"/>
  <c r="AG132" i="1"/>
  <c r="AH132" i="1" s="1"/>
  <c r="AF132" i="1"/>
  <c r="AF132" i="1" a="1"/>
  <c r="AG131" i="1"/>
  <c r="AH131" i="1" s="1"/>
  <c r="AF131" i="1" a="1"/>
  <c r="AF131" i="1" s="1"/>
  <c r="AG130" i="1"/>
  <c r="AH130" i="1" s="1"/>
  <c r="AF130" i="1" a="1"/>
  <c r="AF130" i="1" s="1"/>
  <c r="AG129" i="1"/>
  <c r="AH129" i="1" s="1"/>
  <c r="AF129" i="1" a="1"/>
  <c r="AF129" i="1" s="1"/>
  <c r="AG128" i="1"/>
  <c r="AH128" i="1" s="1"/>
  <c r="AF128" i="1"/>
  <c r="AF128" i="1" a="1"/>
  <c r="AG127" i="1"/>
  <c r="AH127" i="1" s="1"/>
  <c r="AF127" i="1"/>
  <c r="AF127" i="1" a="1"/>
  <c r="AG126" i="1"/>
  <c r="AH126" i="1" s="1"/>
  <c r="AF126" i="1" a="1"/>
  <c r="AF126" i="1" s="1"/>
  <c r="AG125" i="1"/>
  <c r="AH125" i="1" s="1"/>
  <c r="AF125" i="1" a="1"/>
  <c r="AF125" i="1" s="1"/>
  <c r="AG124" i="1"/>
  <c r="AH124" i="1" s="1"/>
  <c r="AF124" i="1" a="1"/>
  <c r="AF124" i="1" s="1"/>
  <c r="AG123" i="1"/>
  <c r="AH123" i="1" s="1"/>
  <c r="AF123" i="1"/>
  <c r="AF123" i="1" a="1"/>
  <c r="AG122" i="1"/>
  <c r="AH122" i="1" s="1"/>
  <c r="AF122" i="1"/>
  <c r="AF122" i="1" a="1"/>
  <c r="AG121" i="1"/>
  <c r="AH121" i="1" s="1"/>
  <c r="AF121" i="1" a="1"/>
  <c r="AF121" i="1" s="1"/>
  <c r="AG120" i="1"/>
  <c r="AH120" i="1" s="1"/>
  <c r="AF120" i="1" a="1"/>
  <c r="AF120" i="1" s="1"/>
  <c r="AG119" i="1"/>
  <c r="AH119" i="1" s="1"/>
  <c r="AF119" i="1" a="1"/>
  <c r="AF119" i="1" s="1"/>
  <c r="AG118" i="1"/>
  <c r="AH118" i="1" s="1"/>
  <c r="AF118" i="1"/>
  <c r="AF118" i="1" a="1"/>
  <c r="AG117" i="1"/>
  <c r="AH117" i="1" s="1"/>
  <c r="AF117" i="1"/>
  <c r="AF117" i="1" a="1"/>
  <c r="AG116" i="1"/>
  <c r="AH116" i="1" s="1"/>
  <c r="AF116" i="1" a="1"/>
  <c r="AF116" i="1" s="1"/>
  <c r="AG115" i="1"/>
  <c r="AH115" i="1" s="1"/>
  <c r="AF115" i="1" a="1"/>
  <c r="AF115" i="1" s="1"/>
  <c r="AG114" i="1"/>
  <c r="AH114" i="1" s="1"/>
  <c r="AF114" i="1" a="1"/>
  <c r="AF114" i="1" s="1"/>
  <c r="AG113" i="1"/>
  <c r="AH113" i="1" s="1"/>
  <c r="AF113" i="1"/>
  <c r="AF113" i="1" a="1"/>
  <c r="AG112" i="1"/>
  <c r="AH112" i="1" s="1"/>
  <c r="AF112" i="1"/>
  <c r="AF112" i="1" a="1"/>
  <c r="AG111" i="1"/>
  <c r="AH111" i="1" s="1"/>
  <c r="AF111" i="1" a="1"/>
  <c r="AF111" i="1" s="1"/>
  <c r="AG110" i="1"/>
  <c r="AH110" i="1" s="1"/>
  <c r="AF110" i="1" a="1"/>
  <c r="AF110" i="1" s="1"/>
  <c r="AG109" i="1"/>
  <c r="AH109" i="1" s="1"/>
  <c r="AF109" i="1" a="1"/>
  <c r="AF109" i="1" s="1"/>
  <c r="AG108" i="1"/>
  <c r="AH108" i="1" s="1"/>
  <c r="AF108" i="1"/>
  <c r="AF108" i="1" a="1"/>
  <c r="AG107" i="1"/>
  <c r="AH107" i="1" s="1"/>
  <c r="AF107" i="1"/>
  <c r="AF107" i="1" a="1"/>
  <c r="AG106" i="1"/>
  <c r="AH106" i="1" s="1"/>
  <c r="AF106" i="1" a="1"/>
  <c r="AF106" i="1" s="1"/>
  <c r="AG105" i="1"/>
  <c r="AH105" i="1" s="1"/>
  <c r="AF105" i="1" a="1"/>
  <c r="AF105" i="1" s="1"/>
  <c r="AG104" i="1"/>
  <c r="AH104" i="1" s="1"/>
  <c r="AF104" i="1" a="1"/>
  <c r="AF104" i="1" s="1"/>
  <c r="AG103" i="1"/>
  <c r="AH103" i="1" s="1"/>
  <c r="AF103" i="1"/>
  <c r="AF103" i="1" a="1"/>
  <c r="AG102" i="1"/>
  <c r="AH102" i="1" s="1"/>
  <c r="AF102" i="1"/>
  <c r="AF102" i="1" a="1"/>
  <c r="AG101" i="1"/>
  <c r="AH101" i="1" s="1"/>
  <c r="AF101" i="1" a="1"/>
  <c r="AF101" i="1" s="1"/>
  <c r="AG100" i="1"/>
  <c r="AH100" i="1" s="1"/>
  <c r="AF100" i="1" a="1"/>
  <c r="AF100" i="1" s="1"/>
  <c r="AG99" i="1"/>
  <c r="AH99" i="1" s="1"/>
  <c r="AF99" i="1" a="1"/>
  <c r="AF99" i="1" s="1"/>
  <c r="AG98" i="1"/>
  <c r="AH98" i="1" s="1"/>
  <c r="AF98" i="1" a="1"/>
  <c r="AF98" i="1" s="1"/>
  <c r="AG97" i="1"/>
  <c r="AH97" i="1" s="1"/>
  <c r="AF97" i="1"/>
  <c r="AF97" i="1" a="1"/>
  <c r="AG96" i="1"/>
  <c r="AH96" i="1" s="1"/>
  <c r="AF96" i="1" a="1"/>
  <c r="AF96" i="1" s="1"/>
  <c r="AG95" i="1"/>
  <c r="AH95" i="1" s="1"/>
  <c r="AF95" i="1" a="1"/>
  <c r="AF95" i="1" s="1"/>
  <c r="AG94" i="1"/>
  <c r="AH94" i="1" s="1"/>
  <c r="AF94" i="1" a="1"/>
  <c r="AF94" i="1" s="1"/>
  <c r="AG93" i="1"/>
  <c r="AH93" i="1" s="1"/>
  <c r="AF93" i="1" a="1"/>
  <c r="AF93" i="1" s="1"/>
  <c r="AG92" i="1"/>
  <c r="AH92" i="1" s="1"/>
  <c r="AF92" i="1"/>
  <c r="AF92" i="1" a="1"/>
  <c r="AG91" i="1"/>
  <c r="AH91" i="1" s="1"/>
  <c r="AF91" i="1" a="1"/>
  <c r="AF91" i="1" s="1"/>
  <c r="AG90" i="1"/>
  <c r="AH90" i="1" s="1"/>
  <c r="AF90" i="1" a="1"/>
  <c r="AF90" i="1" s="1"/>
  <c r="AG89" i="1"/>
  <c r="AH89" i="1" s="1"/>
  <c r="AF89" i="1" a="1"/>
  <c r="AF89" i="1" s="1"/>
  <c r="AG88" i="1"/>
  <c r="AH88" i="1" s="1"/>
  <c r="AF88" i="1" a="1"/>
  <c r="AF88" i="1" s="1"/>
  <c r="AG87" i="1"/>
  <c r="AH87" i="1" s="1"/>
  <c r="AF87" i="1"/>
  <c r="AF87" i="1" a="1"/>
  <c r="AG86" i="1"/>
  <c r="AH86" i="1" s="1"/>
  <c r="AF86" i="1" a="1"/>
  <c r="AF86" i="1" s="1"/>
  <c r="AG85" i="1"/>
  <c r="AH85" i="1" s="1"/>
  <c r="AF85" i="1" a="1"/>
  <c r="AF85" i="1" s="1"/>
  <c r="AG84" i="1"/>
  <c r="AH84" i="1" s="1"/>
  <c r="AF84" i="1" a="1"/>
  <c r="AF84" i="1" s="1"/>
  <c r="AG83" i="1"/>
  <c r="AH83" i="1" s="1"/>
  <c r="AF83" i="1" a="1"/>
  <c r="AF83" i="1" s="1"/>
  <c r="AG82" i="1"/>
  <c r="AH82" i="1" s="1"/>
  <c r="AF82" i="1"/>
  <c r="AF82" i="1" a="1"/>
  <c r="AG81" i="1"/>
  <c r="AH81" i="1" s="1"/>
  <c r="AF81" i="1" a="1"/>
  <c r="AF81" i="1" s="1"/>
  <c r="AG80" i="1"/>
  <c r="AH80" i="1" s="1"/>
  <c r="AF80" i="1" a="1"/>
  <c r="AF80" i="1" s="1"/>
  <c r="AG79" i="1"/>
  <c r="AH79" i="1" s="1"/>
  <c r="AF79" i="1" a="1"/>
  <c r="AF79" i="1" s="1"/>
  <c r="AG78" i="1"/>
  <c r="AH78" i="1" s="1"/>
  <c r="AF78" i="1" a="1"/>
  <c r="AF78" i="1" s="1"/>
  <c r="AG77" i="1"/>
  <c r="AH77" i="1" s="1"/>
  <c r="AF77" i="1"/>
  <c r="AF77" i="1" a="1"/>
  <c r="AG76" i="1"/>
  <c r="AH76" i="1" s="1"/>
  <c r="AF76" i="1" a="1"/>
  <c r="AF76" i="1" s="1"/>
  <c r="AG75" i="1"/>
  <c r="AH75" i="1" s="1"/>
  <c r="AF75" i="1" a="1"/>
  <c r="AF75" i="1" s="1"/>
  <c r="AG74" i="1"/>
  <c r="AH74" i="1" s="1"/>
  <c r="AF74" i="1" a="1"/>
  <c r="AF74" i="1" s="1"/>
  <c r="AG73" i="1"/>
  <c r="AH73" i="1" s="1"/>
  <c r="AF73" i="1" a="1"/>
  <c r="AF73" i="1" s="1"/>
  <c r="AG72" i="1"/>
  <c r="AH72" i="1" s="1"/>
  <c r="AF72" i="1"/>
  <c r="AF72" i="1" a="1"/>
  <c r="AG71" i="1"/>
  <c r="AH71" i="1" s="1"/>
  <c r="AF71" i="1" a="1"/>
  <c r="AF71" i="1" s="1"/>
  <c r="AG70" i="1"/>
  <c r="AH70" i="1" s="1"/>
  <c r="AF70" i="1" a="1"/>
  <c r="AF70" i="1" s="1"/>
  <c r="AG69" i="1"/>
  <c r="AH69" i="1" s="1"/>
  <c r="AF69" i="1" a="1"/>
  <c r="AF69" i="1" s="1"/>
  <c r="AG68" i="1"/>
  <c r="AH68" i="1" s="1"/>
  <c r="AF68" i="1" a="1"/>
  <c r="AF68" i="1" s="1"/>
  <c r="AG67" i="1"/>
  <c r="AH67" i="1" s="1"/>
  <c r="AF67" i="1"/>
  <c r="AF67" i="1" a="1"/>
  <c r="AG66" i="1"/>
  <c r="AH66" i="1" s="1"/>
  <c r="AF66" i="1" a="1"/>
  <c r="AF66" i="1" s="1"/>
  <c r="AG65" i="1"/>
  <c r="AH65" i="1" s="1"/>
  <c r="AF65" i="1" a="1"/>
  <c r="AF65" i="1" s="1"/>
  <c r="AG64" i="1"/>
  <c r="AH64" i="1" s="1"/>
  <c r="AF64" i="1" a="1"/>
  <c r="AF64" i="1" s="1"/>
  <c r="AG63" i="1"/>
  <c r="AH63" i="1" s="1"/>
  <c r="AF63" i="1" a="1"/>
  <c r="AF63" i="1" s="1"/>
  <c r="AG62" i="1"/>
  <c r="AH62" i="1" s="1"/>
  <c r="AF62" i="1"/>
  <c r="AF62" i="1" a="1"/>
  <c r="AG61" i="1"/>
  <c r="AH61" i="1" s="1"/>
  <c r="AF61" i="1" a="1"/>
  <c r="AF61" i="1" s="1"/>
  <c r="AG60" i="1"/>
  <c r="AH60" i="1" s="1"/>
  <c r="AF60" i="1" a="1"/>
  <c r="AF60" i="1" s="1"/>
  <c r="AG59" i="1"/>
  <c r="AH59" i="1" s="1"/>
  <c r="AF59" i="1" a="1"/>
  <c r="AF59" i="1" s="1"/>
  <c r="AG58" i="1"/>
  <c r="AH58" i="1" s="1"/>
  <c r="AF58" i="1" a="1"/>
  <c r="AF58" i="1" s="1"/>
  <c r="AG57" i="1"/>
  <c r="AH57" i="1" s="1"/>
  <c r="AF57" i="1"/>
  <c r="AF57" i="1" a="1"/>
  <c r="AG56" i="1"/>
  <c r="AH56" i="1" s="1"/>
  <c r="AF56" i="1" a="1"/>
  <c r="AF56" i="1" s="1"/>
  <c r="AG55" i="1"/>
  <c r="AH55" i="1" s="1"/>
  <c r="AF55" i="1" a="1"/>
  <c r="AF55" i="1" s="1"/>
  <c r="AG54" i="1"/>
  <c r="AH54" i="1" s="1"/>
  <c r="AF54" i="1" a="1"/>
  <c r="AF54" i="1" s="1"/>
  <c r="AG53" i="1"/>
  <c r="AH53" i="1" s="1"/>
  <c r="AF53" i="1" a="1"/>
  <c r="AF53" i="1" s="1"/>
  <c r="AG52" i="1"/>
  <c r="AH52" i="1" s="1"/>
  <c r="AF52" i="1"/>
  <c r="AF52" i="1" a="1"/>
  <c r="AG51" i="1"/>
  <c r="AH51" i="1" s="1"/>
  <c r="AF51" i="1" a="1"/>
  <c r="AF51" i="1" s="1"/>
  <c r="AG50" i="1"/>
  <c r="AH50" i="1" s="1"/>
  <c r="AF50" i="1" a="1"/>
  <c r="AF50" i="1" s="1"/>
  <c r="AG49" i="1"/>
  <c r="AH49" i="1" s="1"/>
  <c r="AF49" i="1" a="1"/>
  <c r="AF49" i="1" s="1"/>
  <c r="AG48" i="1"/>
  <c r="AH48" i="1" s="1"/>
  <c r="AF48" i="1" a="1"/>
  <c r="AF48" i="1" s="1"/>
  <c r="AG47" i="1"/>
  <c r="AH47" i="1" s="1"/>
  <c r="AF47" i="1"/>
  <c r="AF47" i="1" a="1"/>
  <c r="AG46" i="1"/>
  <c r="AH46" i="1" s="1"/>
  <c r="AF46" i="1" a="1"/>
  <c r="AF46" i="1" s="1"/>
  <c r="AG45" i="1"/>
  <c r="AH45" i="1" s="1"/>
  <c r="AF45" i="1" a="1"/>
  <c r="AF45" i="1" s="1"/>
  <c r="AG44" i="1"/>
  <c r="AH44" i="1" s="1"/>
  <c r="AF44" i="1" a="1"/>
  <c r="AF44" i="1" s="1"/>
  <c r="AG43" i="1"/>
  <c r="AH43" i="1" s="1"/>
  <c r="AF43" i="1" a="1"/>
  <c r="AF43" i="1" s="1"/>
  <c r="AG42" i="1"/>
  <c r="AH42" i="1" s="1"/>
  <c r="AF42" i="1"/>
  <c r="AF42" i="1" a="1"/>
  <c r="AG41" i="1"/>
  <c r="AH41" i="1" s="1"/>
  <c r="AF41" i="1" a="1"/>
  <c r="AF41" i="1" s="1"/>
  <c r="AG40" i="1"/>
  <c r="AH40" i="1" s="1"/>
  <c r="AF40" i="1" a="1"/>
  <c r="AF40" i="1" s="1"/>
  <c r="AG39" i="1"/>
  <c r="AH39" i="1" s="1"/>
  <c r="AF39" i="1" a="1"/>
  <c r="AF39" i="1" s="1"/>
  <c r="AG38" i="1"/>
  <c r="AH38" i="1" s="1"/>
  <c r="AF38" i="1" a="1"/>
  <c r="AF38" i="1" s="1"/>
  <c r="AG37" i="1"/>
  <c r="AH37" i="1" s="1"/>
  <c r="AF37" i="1"/>
  <c r="AF37" i="1" a="1"/>
  <c r="AG36" i="1"/>
  <c r="AH36" i="1" s="1"/>
  <c r="AF36" i="1" a="1"/>
  <c r="AF36" i="1" s="1"/>
  <c r="AG35" i="1"/>
  <c r="AH35" i="1" s="1"/>
  <c r="AF35" i="1" a="1"/>
  <c r="AF35" i="1" s="1"/>
  <c r="AG34" i="1"/>
  <c r="AH34" i="1" s="1"/>
  <c r="AF34" i="1" a="1"/>
  <c r="AF34" i="1" s="1"/>
  <c r="AG33" i="1"/>
  <c r="AH33" i="1" s="1"/>
  <c r="AF33" i="1" a="1"/>
  <c r="AF33" i="1" s="1"/>
  <c r="AG32" i="1"/>
  <c r="AH32" i="1" s="1"/>
  <c r="AF32" i="1"/>
  <c r="AF32" i="1" a="1"/>
  <c r="AG31" i="1"/>
  <c r="AH31" i="1" s="1"/>
  <c r="AF31" i="1" a="1"/>
  <c r="AF31" i="1" s="1"/>
  <c r="AG30" i="1"/>
  <c r="AH30" i="1" s="1"/>
  <c r="AF30" i="1" a="1"/>
  <c r="AF30" i="1" s="1"/>
  <c r="AG29" i="1"/>
  <c r="AH29" i="1" s="1"/>
  <c r="AF29" i="1" a="1"/>
  <c r="AF29" i="1" s="1"/>
  <c r="AG28" i="1"/>
  <c r="AH28" i="1" s="1"/>
  <c r="AF28" i="1" a="1"/>
  <c r="AF28" i="1" s="1"/>
  <c r="AG27" i="1"/>
  <c r="AH27" i="1" s="1"/>
  <c r="AF27" i="1"/>
  <c r="AF27" i="1" a="1"/>
  <c r="AG26" i="1"/>
  <c r="AH26" i="1" s="1"/>
  <c r="AF26" i="1" a="1"/>
  <c r="AF26" i="1" s="1"/>
  <c r="AG25" i="1"/>
  <c r="AH25" i="1" s="1"/>
  <c r="AF25" i="1" a="1"/>
  <c r="AF25" i="1" s="1"/>
  <c r="AG24" i="1"/>
  <c r="AH24" i="1" s="1"/>
  <c r="AF24" i="1" a="1"/>
  <c r="AF24" i="1" s="1"/>
  <c r="AG23" i="1"/>
  <c r="AH23" i="1" s="1"/>
  <c r="AF23" i="1" a="1"/>
  <c r="AF23" i="1" s="1"/>
  <c r="AG22" i="1"/>
  <c r="AH22" i="1" s="1"/>
  <c r="AF22" i="1"/>
  <c r="AF22" i="1" a="1"/>
  <c r="AG21" i="1"/>
  <c r="AH21" i="1" s="1"/>
  <c r="AF21" i="1" a="1"/>
  <c r="AF21" i="1" s="1"/>
  <c r="AG20" i="1"/>
  <c r="AH20" i="1" s="1"/>
  <c r="AF20" i="1" a="1"/>
  <c r="AF20" i="1" s="1"/>
  <c r="AG19" i="1"/>
  <c r="AH19" i="1" s="1"/>
  <c r="AF19" i="1" a="1"/>
  <c r="AF19" i="1" s="1"/>
  <c r="AG18" i="1"/>
  <c r="AH18" i="1" s="1"/>
  <c r="AF18" i="1" a="1"/>
  <c r="AF18" i="1" s="1"/>
  <c r="AG17" i="1"/>
  <c r="AH17" i="1" s="1"/>
  <c r="AF17" i="1"/>
  <c r="AF17" i="1" a="1"/>
  <c r="AG16" i="1"/>
  <c r="AH16" i="1" s="1"/>
  <c r="AF16" i="1" a="1"/>
  <c r="AF16" i="1" s="1"/>
  <c r="AG15" i="1"/>
  <c r="AH15" i="1" s="1"/>
  <c r="AF15" i="1" a="1"/>
  <c r="AF15" i="1" s="1"/>
  <c r="AG14" i="1"/>
  <c r="AH14" i="1" s="1"/>
  <c r="AF14" i="1" a="1"/>
  <c r="AF14" i="1" s="1"/>
  <c r="AG13" i="1"/>
  <c r="AH13" i="1" s="1"/>
  <c r="AF13" i="1" a="1"/>
  <c r="AF13" i="1" s="1"/>
  <c r="AG12" i="1"/>
  <c r="AH12" i="1" s="1"/>
  <c r="AF12" i="1"/>
  <c r="AF12" i="1" a="1"/>
  <c r="AG11" i="1"/>
  <c r="AH11" i="1" s="1"/>
  <c r="AF11" i="1" a="1"/>
  <c r="AF11" i="1" s="1"/>
  <c r="AG10" i="1"/>
  <c r="AH10" i="1" s="1"/>
  <c r="AF10" i="1" a="1"/>
  <c r="AF10" i="1" s="1"/>
  <c r="AG9" i="1"/>
  <c r="AH9" i="1" s="1"/>
  <c r="AF9" i="1" a="1"/>
  <c r="AF9" i="1" s="1"/>
  <c r="AG8" i="1"/>
  <c r="AH8" i="1" s="1"/>
  <c r="AF8" i="1" a="1"/>
  <c r="AF8" i="1" s="1"/>
  <c r="AG7" i="1"/>
  <c r="AH7" i="1" s="1"/>
  <c r="AF7" i="1"/>
  <c r="AF7" i="1" a="1"/>
  <c r="AG6" i="1"/>
  <c r="AH6" i="1" s="1"/>
  <c r="AF6" i="1" a="1"/>
  <c r="AF6" i="1" s="1"/>
  <c r="AG5" i="1"/>
  <c r="AH5" i="1" s="1"/>
  <c r="AF5" i="1" a="1"/>
  <c r="AF5" i="1" s="1"/>
  <c r="AG4" i="1"/>
  <c r="AH4" i="1" s="1"/>
  <c r="AF4" i="1" a="1"/>
  <c r="AF4" i="1" s="1"/>
  <c r="AG3" i="1"/>
  <c r="AH3" i="1" s="1"/>
  <c r="AF3" i="1" a="1"/>
  <c r="AF3" i="1" s="1"/>
  <c r="AG2" i="1"/>
  <c r="AH2" i="1" s="1"/>
  <c r="AF2" i="1" a="1"/>
  <c r="AF2" i="1" s="1"/>
  <c r="P143" i="1" a="1"/>
  <c r="P143" i="1" s="1"/>
  <c r="P142" i="1" a="1"/>
  <c r="P142" i="1" s="1"/>
  <c r="P141" i="1" a="1"/>
  <c r="P141" i="1" s="1"/>
  <c r="P140" i="1" a="1"/>
  <c r="P140" i="1" s="1"/>
  <c r="P139" i="1" a="1"/>
  <c r="P139" i="1" s="1"/>
  <c r="P138" i="1" a="1"/>
  <c r="P138" i="1" s="1"/>
  <c r="P137" i="1" a="1"/>
  <c r="P137" i="1" s="1"/>
  <c r="P136" i="1" a="1"/>
  <c r="P136" i="1" s="1"/>
  <c r="P135" i="1" a="1"/>
  <c r="P135" i="1" s="1"/>
  <c r="P134" i="1" a="1"/>
  <c r="P134" i="1" s="1"/>
  <c r="P133" i="1" a="1"/>
  <c r="P133" i="1" s="1"/>
  <c r="P132" i="1" a="1"/>
  <c r="P132" i="1" s="1"/>
  <c r="P131" i="1" a="1"/>
  <c r="P131" i="1" s="1"/>
  <c r="P130" i="1" a="1"/>
  <c r="P130" i="1" s="1"/>
  <c r="P129" i="1" a="1"/>
  <c r="P129" i="1" s="1"/>
  <c r="P128" i="1" a="1"/>
  <c r="P128" i="1" s="1"/>
  <c r="P127" i="1" a="1"/>
  <c r="P127" i="1" s="1"/>
  <c r="P126" i="1" a="1"/>
  <c r="P126" i="1" s="1"/>
  <c r="P125" i="1" a="1"/>
  <c r="P125" i="1" s="1"/>
  <c r="P124" i="1" a="1"/>
  <c r="P124" i="1" s="1"/>
  <c r="P123" i="1" a="1"/>
  <c r="P123" i="1" s="1"/>
  <c r="P122" i="1" a="1"/>
  <c r="P122" i="1" s="1"/>
  <c r="P121" i="1" a="1"/>
  <c r="P121" i="1" s="1"/>
  <c r="P120" i="1" a="1"/>
  <c r="P120" i="1" s="1"/>
  <c r="P119" i="1" a="1"/>
  <c r="P119" i="1" s="1"/>
  <c r="P118" i="1" a="1"/>
  <c r="P118" i="1" s="1"/>
  <c r="P117" i="1" a="1"/>
  <c r="P117" i="1" s="1"/>
  <c r="P116" i="1" a="1"/>
  <c r="P116" i="1" s="1"/>
  <c r="P115" i="1" a="1"/>
  <c r="P115" i="1" s="1"/>
  <c r="P114" i="1" a="1"/>
  <c r="P114" i="1" s="1"/>
  <c r="P113" i="1" a="1"/>
  <c r="P113" i="1" s="1"/>
  <c r="P112" i="1" a="1"/>
  <c r="P112" i="1" s="1"/>
  <c r="P111" i="1" a="1"/>
  <c r="P111" i="1" s="1"/>
  <c r="P110" i="1" a="1"/>
  <c r="P110" i="1" s="1"/>
  <c r="P109" i="1" a="1"/>
  <c r="P109" i="1" s="1"/>
  <c r="P108" i="1" a="1"/>
  <c r="P108" i="1" s="1"/>
  <c r="P107" i="1" a="1"/>
  <c r="P107" i="1" s="1"/>
  <c r="P106" i="1" a="1"/>
  <c r="P106" i="1" s="1"/>
  <c r="P105" i="1" a="1"/>
  <c r="P105" i="1" s="1"/>
  <c r="P104" i="1" a="1"/>
  <c r="P104" i="1" s="1"/>
  <c r="P103" i="1" a="1"/>
  <c r="P103" i="1" s="1"/>
  <c r="P102" i="1" a="1"/>
  <c r="P102" i="1" s="1"/>
  <c r="P101" i="1" a="1"/>
  <c r="P101" i="1" s="1"/>
  <c r="P100" i="1" a="1"/>
  <c r="P100" i="1" s="1"/>
  <c r="P99" i="1" a="1"/>
  <c r="P99" i="1" s="1"/>
  <c r="P98" i="1" a="1"/>
  <c r="P98" i="1" s="1"/>
  <c r="P97" i="1" a="1"/>
  <c r="P97" i="1" s="1"/>
  <c r="P96" i="1" a="1"/>
  <c r="P96" i="1" s="1"/>
  <c r="P95" i="1" a="1"/>
  <c r="P95" i="1" s="1"/>
  <c r="P94" i="1" a="1"/>
  <c r="P94" i="1" s="1"/>
  <c r="P93" i="1" a="1"/>
  <c r="P93" i="1" s="1"/>
  <c r="P92" i="1" a="1"/>
  <c r="P92" i="1" s="1"/>
  <c r="P91" i="1" a="1"/>
  <c r="P91" i="1" s="1"/>
  <c r="P90" i="1" a="1"/>
  <c r="P90" i="1" s="1"/>
  <c r="P89" i="1" a="1"/>
  <c r="P89" i="1" s="1"/>
  <c r="P88" i="1" a="1"/>
  <c r="P88" i="1" s="1"/>
  <c r="P87" i="1" a="1"/>
  <c r="P87" i="1" s="1"/>
  <c r="P86" i="1" a="1"/>
  <c r="P86" i="1" s="1"/>
  <c r="P85" i="1" a="1"/>
  <c r="P85" i="1" s="1"/>
  <c r="P84" i="1" a="1"/>
  <c r="P84" i="1" s="1"/>
  <c r="P83" i="1" a="1"/>
  <c r="P83" i="1" s="1"/>
  <c r="P82" i="1" a="1"/>
  <c r="P82" i="1" s="1"/>
  <c r="P81" i="1" a="1"/>
  <c r="P81" i="1" s="1"/>
  <c r="P80" i="1" a="1"/>
  <c r="P80" i="1" s="1"/>
  <c r="P79" i="1" a="1"/>
  <c r="P79" i="1" s="1"/>
  <c r="P78" i="1" a="1"/>
  <c r="P78" i="1" s="1"/>
  <c r="P77" i="1" a="1"/>
  <c r="P77" i="1" s="1"/>
  <c r="P76" i="1" a="1"/>
  <c r="P76" i="1" s="1"/>
  <c r="P75" i="1" a="1"/>
  <c r="P75" i="1" s="1"/>
  <c r="P74" i="1" a="1"/>
  <c r="P74" i="1" s="1"/>
  <c r="P73" i="1" a="1"/>
  <c r="P73" i="1" s="1"/>
  <c r="P72" i="1" a="1"/>
  <c r="P72" i="1" s="1"/>
  <c r="P71" i="1" a="1"/>
  <c r="P71" i="1" s="1"/>
  <c r="P70" i="1" a="1"/>
  <c r="P70" i="1" s="1"/>
  <c r="P69" i="1" a="1"/>
  <c r="P69" i="1" s="1"/>
  <c r="P68" i="1" a="1"/>
  <c r="P68" i="1" s="1"/>
  <c r="P67" i="1" a="1"/>
  <c r="P67" i="1" s="1"/>
  <c r="P66" i="1" a="1"/>
  <c r="P66" i="1" s="1"/>
  <c r="P65" i="1" a="1"/>
  <c r="P65" i="1" s="1"/>
  <c r="P64" i="1" a="1"/>
  <c r="P64" i="1" s="1"/>
  <c r="P63" i="1" a="1"/>
  <c r="P63" i="1" s="1"/>
  <c r="P62" i="1" a="1"/>
  <c r="P62" i="1" s="1"/>
  <c r="P61" i="1" a="1"/>
  <c r="P61" i="1" s="1"/>
  <c r="P59" i="1" a="1"/>
  <c r="P59" i="1" s="1"/>
  <c r="P58" i="1" a="1"/>
  <c r="P58" i="1" s="1"/>
  <c r="P57" i="1" a="1"/>
  <c r="P57" i="1" s="1"/>
  <c r="P56" i="1" a="1"/>
  <c r="P56" i="1" s="1"/>
  <c r="P55" i="1" a="1"/>
  <c r="P55" i="1" s="1"/>
  <c r="P54" i="1" a="1"/>
  <c r="P54" i="1" s="1"/>
  <c r="P53" i="1" a="1"/>
  <c r="P53" i="1" s="1"/>
  <c r="P52" i="1" a="1"/>
  <c r="P52" i="1" s="1"/>
  <c r="P51" i="1" a="1"/>
  <c r="P51" i="1" s="1"/>
  <c r="P50" i="1" a="1"/>
  <c r="P50" i="1" s="1"/>
  <c r="P49" i="1" a="1"/>
  <c r="P49" i="1" s="1"/>
  <c r="P48" i="1" a="1"/>
  <c r="P48" i="1" s="1"/>
  <c r="P47" i="1" a="1"/>
  <c r="P47" i="1" s="1"/>
  <c r="P46" i="1" a="1"/>
  <c r="P46" i="1" s="1"/>
  <c r="P45" i="1" a="1"/>
  <c r="P45" i="1" s="1"/>
  <c r="P44" i="1" a="1"/>
  <c r="P44" i="1" s="1"/>
  <c r="P43" i="1" a="1"/>
  <c r="P43" i="1" s="1"/>
  <c r="P42" i="1" a="1"/>
  <c r="P42" i="1" s="1"/>
  <c r="P41" i="1" a="1"/>
  <c r="P41" i="1" s="1"/>
  <c r="P40" i="1" a="1"/>
  <c r="P40" i="1" s="1"/>
  <c r="P39" i="1" a="1"/>
  <c r="P39" i="1" s="1"/>
  <c r="P38" i="1" a="1"/>
  <c r="P38" i="1" s="1"/>
  <c r="P37" i="1" a="1"/>
  <c r="P37" i="1" s="1"/>
  <c r="P36" i="1" a="1"/>
  <c r="P36" i="1" s="1"/>
  <c r="P35" i="1" a="1"/>
  <c r="P35" i="1" s="1"/>
  <c r="P34" i="1" a="1"/>
  <c r="P34" i="1" s="1"/>
  <c r="P33" i="1" a="1"/>
  <c r="P33" i="1" s="1"/>
  <c r="P32" i="1" a="1"/>
  <c r="P32" i="1" s="1"/>
  <c r="P31" i="1" a="1"/>
  <c r="P31" i="1" s="1"/>
  <c r="P30" i="1" a="1"/>
  <c r="P30" i="1" s="1"/>
  <c r="P29" i="1" a="1"/>
  <c r="P29" i="1" s="1"/>
  <c r="P28" i="1" a="1"/>
  <c r="P28" i="1" s="1"/>
  <c r="P27" i="1" a="1"/>
  <c r="P27" i="1" s="1"/>
  <c r="P26" i="1" a="1"/>
  <c r="P26" i="1" s="1"/>
  <c r="P25" i="1" a="1"/>
  <c r="P25" i="1" s="1"/>
  <c r="P24" i="1" a="1"/>
  <c r="P24" i="1" s="1"/>
  <c r="P23" i="1" a="1"/>
  <c r="P23" i="1" s="1"/>
  <c r="P22" i="1" a="1"/>
  <c r="P22" i="1" s="1"/>
  <c r="P21" i="1" a="1"/>
  <c r="P21" i="1" s="1"/>
  <c r="P20" i="1" a="1"/>
  <c r="P20" i="1" s="1"/>
  <c r="P19" i="1" a="1"/>
  <c r="P19" i="1" s="1"/>
  <c r="P18" i="1" a="1"/>
  <c r="P18" i="1" s="1"/>
  <c r="P17" i="1" a="1"/>
  <c r="P17" i="1" s="1"/>
  <c r="P16" i="1" a="1"/>
  <c r="P16" i="1" s="1"/>
  <c r="P15" i="1" a="1"/>
  <c r="P15" i="1" s="1"/>
  <c r="P14" i="1" a="1"/>
  <c r="P14" i="1" s="1"/>
  <c r="P13" i="1" a="1"/>
  <c r="P13" i="1" s="1"/>
  <c r="P12" i="1" a="1"/>
  <c r="P12" i="1" s="1"/>
  <c r="P11" i="1" a="1"/>
  <c r="P11" i="1" s="1"/>
  <c r="P10" i="1" a="1"/>
  <c r="P10" i="1" s="1"/>
  <c r="P9" i="1" a="1"/>
  <c r="P9" i="1" s="1"/>
  <c r="P8" i="1" a="1"/>
  <c r="P8" i="1" s="1"/>
  <c r="P7" i="1" a="1"/>
  <c r="P7" i="1" s="1"/>
  <c r="P6" i="1" a="1"/>
  <c r="P6" i="1" s="1"/>
  <c r="P5" i="1" a="1"/>
  <c r="P5" i="1" s="1"/>
  <c r="P4" i="1" a="1"/>
  <c r="P4" i="1" s="1"/>
  <c r="P3" i="1" a="1"/>
  <c r="P3" i="1" s="1"/>
  <c r="P2" i="1" a="1"/>
  <c r="P2" i="1" s="1"/>
  <c r="AI143" i="1"/>
  <c r="AI142" i="1"/>
  <c r="AI141" i="1"/>
  <c r="AI140" i="1"/>
  <c r="AI139" i="1"/>
  <c r="AI138" i="1"/>
  <c r="AI137" i="1"/>
  <c r="AI136" i="1"/>
  <c r="AI135" i="1"/>
  <c r="AI134" i="1"/>
  <c r="AI133" i="1"/>
  <c r="AI132" i="1"/>
  <c r="AI131" i="1"/>
  <c r="AI130" i="1"/>
  <c r="AI129" i="1"/>
  <c r="AI128" i="1"/>
  <c r="AI127" i="1"/>
  <c r="AI126" i="1"/>
  <c r="AI125" i="1"/>
  <c r="AI124" i="1"/>
  <c r="AI123" i="1"/>
  <c r="AI122" i="1"/>
  <c r="AI121" i="1"/>
  <c r="AI120" i="1"/>
  <c r="AI119" i="1"/>
  <c r="AI118" i="1"/>
  <c r="AI117" i="1"/>
  <c r="AI116" i="1"/>
  <c r="AI115" i="1"/>
  <c r="AI114" i="1"/>
  <c r="AI113" i="1"/>
  <c r="AI112" i="1"/>
  <c r="AI111" i="1"/>
  <c r="AI110" i="1"/>
  <c r="AI109" i="1"/>
  <c r="AI108" i="1"/>
  <c r="AI107" i="1"/>
  <c r="AI106" i="1"/>
  <c r="AI105" i="1"/>
  <c r="AI104" i="1"/>
  <c r="AI103" i="1"/>
  <c r="AI102" i="1"/>
  <c r="AI101" i="1"/>
  <c r="AI100" i="1"/>
  <c r="AI99" i="1"/>
  <c r="AI98" i="1"/>
  <c r="AI97" i="1"/>
  <c r="AI96" i="1"/>
  <c r="AI95" i="1"/>
  <c r="AI94" i="1"/>
  <c r="AI93" i="1"/>
  <c r="AI92" i="1"/>
  <c r="AI91" i="1"/>
  <c r="AI90" i="1"/>
  <c r="AI89" i="1"/>
  <c r="AI88" i="1"/>
  <c r="AI87" i="1"/>
  <c r="AI86" i="1"/>
  <c r="AI85" i="1"/>
  <c r="AI84" i="1"/>
  <c r="AI83" i="1"/>
  <c r="AI82" i="1"/>
  <c r="AI81" i="1"/>
  <c r="AI80" i="1"/>
  <c r="AI79" i="1"/>
  <c r="AI78" i="1"/>
  <c r="AI77" i="1"/>
  <c r="AI76" i="1"/>
  <c r="AI75" i="1"/>
  <c r="AI74" i="1"/>
  <c r="AI73" i="1"/>
  <c r="AI72" i="1"/>
  <c r="AI71" i="1"/>
  <c r="AI70" i="1"/>
  <c r="AI69" i="1"/>
  <c r="AI68" i="1"/>
  <c r="AI67" i="1"/>
  <c r="AI66" i="1"/>
  <c r="AI65" i="1"/>
  <c r="AI64" i="1"/>
  <c r="AI63" i="1"/>
  <c r="AI62" i="1"/>
  <c r="AI61" i="1"/>
  <c r="AI59" i="1"/>
  <c r="AI58" i="1"/>
  <c r="AI57" i="1"/>
  <c r="AI56" i="1"/>
  <c r="AI55" i="1"/>
  <c r="AI54" i="1"/>
  <c r="AI53" i="1"/>
  <c r="AI52" i="1"/>
  <c r="AI51" i="1"/>
  <c r="AI50" i="1"/>
  <c r="AI49" i="1"/>
  <c r="AI48" i="1"/>
  <c r="AI47" i="1"/>
  <c r="AI46" i="1"/>
  <c r="AI45"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I3" i="1"/>
  <c r="AI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<sst xmlns="http://schemas.openxmlformats.org/spreadsheetml/2006/main" count="3016" uniqueCount="945">
  <si>
    <t>CLAIMS#</t>
  </si>
  <si>
    <t>SERVICE DATE</t>
  </si>
  <si>
    <t>PVDR</t>
  </si>
  <si>
    <t>PATIENT</t>
  </si>
  <si>
    <t>PAYER</t>
  </si>
  <si>
    <t>STATUS</t>
  </si>
  <si>
    <t>CHARGES</t>
  </si>
  <si>
    <t>PMTS/ADJS</t>
  </si>
  <si>
    <t>Adjustment</t>
  </si>
  <si>
    <t>WithHeld</t>
  </si>
  <si>
    <t>Balance</t>
  </si>
  <si>
    <t>Account Number</t>
  </si>
  <si>
    <t>Provider Name</t>
  </si>
  <si>
    <t>Guarantor Name</t>
  </si>
  <si>
    <t>1887843</t>
  </si>
  <si>
    <t>02/18/2025</t>
  </si>
  <si>
    <t>JCC</t>
  </si>
  <si>
    <t>GREEN, CHARLES</t>
  </si>
  <si>
    <t>AETNA INSURANCE</t>
  </si>
  <si>
    <t>To Be Coded</t>
  </si>
  <si>
    <t>557.00</t>
  </si>
  <si>
    <t>131.30</t>
  </si>
  <si>
    <t>0.00</t>
  </si>
  <si>
    <t>425.70</t>
  </si>
  <si>
    <t>248870</t>
  </si>
  <si>
    <t>Culbertson, John C.</t>
  </si>
  <si>
    <t>1893841</t>
  </si>
  <si>
    <t>03/04/2025</t>
  </si>
  <si>
    <t>SAD</t>
  </si>
  <si>
    <t>CROFT, DAVID, B</t>
  </si>
  <si>
    <t>Triwest VACCN Region 4</t>
  </si>
  <si>
    <t>680.00</t>
  </si>
  <si>
    <t>423358</t>
  </si>
  <si>
    <t>Donnelly, Sherry A</t>
  </si>
  <si>
    <t>CROFT, DAVID B</t>
  </si>
  <si>
    <t>1894895</t>
  </si>
  <si>
    <t>03/06/2025</t>
  </si>
  <si>
    <t>KLR</t>
  </si>
  <si>
    <t>FERRELL, TERRESSA, N</t>
  </si>
  <si>
    <t>BLUE CROSS BLUE SHIELD TX</t>
  </si>
  <si>
    <t>80.00</t>
  </si>
  <si>
    <t>554752</t>
  </si>
  <si>
    <t>Rolon, Katherine L</t>
  </si>
  <si>
    <t>FERRELL, TERRESSA N</t>
  </si>
  <si>
    <t>1895161</t>
  </si>
  <si>
    <t>Alvarenga, Liliana</t>
  </si>
  <si>
    <t>395.00</t>
  </si>
  <si>
    <t>45.00</t>
  </si>
  <si>
    <t>350.00</t>
  </si>
  <si>
    <t>636921</t>
  </si>
  <si>
    <t>ALVARENGA, CORRI L</t>
  </si>
  <si>
    <t>1896406</t>
  </si>
  <si>
    <t>03/08/2025</t>
  </si>
  <si>
    <t>JBB</t>
  </si>
  <si>
    <t>FULLER, WAYNE</t>
  </si>
  <si>
    <t>576.00</t>
  </si>
  <si>
    <t>520879</t>
  </si>
  <si>
    <t>Browning, Jerry B</t>
  </si>
  <si>
    <t>1896418</t>
  </si>
  <si>
    <t>BRITTON, ALYSSA, R</t>
  </si>
  <si>
    <t>GEHA/UHC PPO</t>
  </si>
  <si>
    <t>378.00</t>
  </si>
  <si>
    <t>20.00</t>
  </si>
  <si>
    <t>358.00</t>
  </si>
  <si>
    <t>146256</t>
  </si>
  <si>
    <t>BRITTON, GREGORY MICHAEL</t>
  </si>
  <si>
    <t>1897197</t>
  </si>
  <si>
    <t>03/10/2025</t>
  </si>
  <si>
    <t>CDB</t>
  </si>
  <si>
    <t>GERMENIS, FAITH</t>
  </si>
  <si>
    <t>MEDICARE OF OKLAHOMA</t>
  </si>
  <si>
    <t>559.00</t>
  </si>
  <si>
    <t>650488</t>
  </si>
  <si>
    <t>Burrows, Cherity D</t>
  </si>
  <si>
    <t>1900344</t>
  </si>
  <si>
    <t>IW</t>
  </si>
  <si>
    <t>Williams, Brian</t>
  </si>
  <si>
    <t>UNITED HEALTHCARE 31394</t>
  </si>
  <si>
    <t>768.00</t>
  </si>
  <si>
    <t>25.00</t>
  </si>
  <si>
    <t>743.00</t>
  </si>
  <si>
    <t>272845</t>
  </si>
  <si>
    <t>Waheed, Imran</t>
  </si>
  <si>
    <t>1900339</t>
  </si>
  <si>
    <t>JJH</t>
  </si>
  <si>
    <t>FLEMING, DAVID</t>
  </si>
  <si>
    <t>CIGNA B 182223</t>
  </si>
  <si>
    <t>643.00</t>
  </si>
  <si>
    <t>35.00</t>
  </si>
  <si>
    <t>608.00</t>
  </si>
  <si>
    <t>834466</t>
  </si>
  <si>
    <t>Harrison, John J</t>
  </si>
  <si>
    <t>1897253</t>
  </si>
  <si>
    <t>03/11/2025</t>
  </si>
  <si>
    <t>JRDB</t>
  </si>
  <si>
    <t>ZIEGLER, GRACYN, J</t>
  </si>
  <si>
    <t>BLUE CROSS BLUE SHIELD AR</t>
  </si>
  <si>
    <t>545.00</t>
  </si>
  <si>
    <t>30.00</t>
  </si>
  <si>
    <t>515.00</t>
  </si>
  <si>
    <t>458648</t>
  </si>
  <si>
    <t>Bailey, John R</t>
  </si>
  <si>
    <t>ZIEGLER, GRACYN J</t>
  </si>
  <si>
    <t>1900355</t>
  </si>
  <si>
    <t>Sheji, Ljargeta</t>
  </si>
  <si>
    <t>CONSOLIDATED BENEFITS</t>
  </si>
  <si>
    <t>215.00</t>
  </si>
  <si>
    <t>832819</t>
  </si>
  <si>
    <t>1897265</t>
  </si>
  <si>
    <t>SM</t>
  </si>
  <si>
    <t>Morris, Sandra</t>
  </si>
  <si>
    <t>ARKANSAS BLUE MEDICARE</t>
  </si>
  <si>
    <t>834597</t>
  </si>
  <si>
    <t>Martin, Sonja</t>
  </si>
  <si>
    <t>1897521</t>
  </si>
  <si>
    <t>SLC</t>
  </si>
  <si>
    <t>GRILLIETTE, TARA, N</t>
  </si>
  <si>
    <t>10.00</t>
  </si>
  <si>
    <t>205.00</t>
  </si>
  <si>
    <t>544976</t>
  </si>
  <si>
    <t>Colbert, ShaRhonda L</t>
  </si>
  <si>
    <t>GRILLIETTE, TARA N</t>
  </si>
  <si>
    <t>1900363</t>
  </si>
  <si>
    <t>Allen, Drake, A</t>
  </si>
  <si>
    <t>TRICARE WEST REGION</t>
  </si>
  <si>
    <t>236.00</t>
  </si>
  <si>
    <t>397323</t>
  </si>
  <si>
    <t>Allen, Drake A</t>
  </si>
  <si>
    <t>1898115</t>
  </si>
  <si>
    <t>03/12/2025</t>
  </si>
  <si>
    <t>ACM</t>
  </si>
  <si>
    <t>Smith, Maria</t>
  </si>
  <si>
    <t>GEHA/Medicare Secondary Only</t>
  </si>
  <si>
    <t>732.00</t>
  </si>
  <si>
    <t>702.00</t>
  </si>
  <si>
    <t>834684</t>
  </si>
  <si>
    <t>McCoy, Angela C</t>
  </si>
  <si>
    <t>1898400</t>
  </si>
  <si>
    <t>EAK</t>
  </si>
  <si>
    <t>Farver, Sidney, S</t>
  </si>
  <si>
    <t>UHC CARE IMPROVEMENT PLUS MCR ADV</t>
  </si>
  <si>
    <t>345.00</t>
  </si>
  <si>
    <t>781849</t>
  </si>
  <si>
    <t>Kordsmeier, Emily A</t>
  </si>
  <si>
    <t>Farver, Sidney S</t>
  </si>
  <si>
    <t>1899085</t>
  </si>
  <si>
    <t>KM</t>
  </si>
  <si>
    <t>HOLT, GERRY, WILLIAM</t>
  </si>
  <si>
    <t>VACCN(Optum)</t>
  </si>
  <si>
    <t>362.00</t>
  </si>
  <si>
    <t>157505</t>
  </si>
  <si>
    <t>McCann, James Kevin</t>
  </si>
  <si>
    <t>HOLT, GERRY WILLIAM</t>
  </si>
  <si>
    <t>1898004</t>
  </si>
  <si>
    <t>TT</t>
  </si>
  <si>
    <t>MUNIZ, PATRICIA</t>
  </si>
  <si>
    <t>TASB</t>
  </si>
  <si>
    <t>552345</t>
  </si>
  <si>
    <t>Traylor, Tonya</t>
  </si>
  <si>
    <t>1900365</t>
  </si>
  <si>
    <t>REYES, IVAN, J</t>
  </si>
  <si>
    <t>Service Lloyds</t>
  </si>
  <si>
    <t>265.00</t>
  </si>
  <si>
    <t>798154</t>
  </si>
  <si>
    <t>REYES, IVAN J</t>
  </si>
  <si>
    <t>1900368</t>
  </si>
  <si>
    <t>ADAMS, JUSTIN</t>
  </si>
  <si>
    <t>Princess Three Operating</t>
  </si>
  <si>
    <t>324644</t>
  </si>
  <si>
    <t>1898464</t>
  </si>
  <si>
    <t>GLF</t>
  </si>
  <si>
    <t>BALDWIN, PHILLIP</t>
  </si>
  <si>
    <t>112.02</t>
  </si>
  <si>
    <t>589.98</t>
  </si>
  <si>
    <t>205195</t>
  </si>
  <si>
    <t>Fenske, Gina L</t>
  </si>
  <si>
    <t>1900408</t>
  </si>
  <si>
    <t>03/13/2025</t>
  </si>
  <si>
    <t>Martin, Xamani</t>
  </si>
  <si>
    <t>AETNA BETTER HEALTH OF OKLAHOMA</t>
  </si>
  <si>
    <t>560.00</t>
  </si>
  <si>
    <t>656728</t>
  </si>
  <si>
    <t>SALES, JADA</t>
  </si>
  <si>
    <t>1900418</t>
  </si>
  <si>
    <t>GREEN, LINDA, T</t>
  </si>
  <si>
    <t>HUMANA CHOICE PPO - MEDICARE ADVANTAGE</t>
  </si>
  <si>
    <t>283.00</t>
  </si>
  <si>
    <t>55.00</t>
  </si>
  <si>
    <t>228.00</t>
  </si>
  <si>
    <t>751107</t>
  </si>
  <si>
    <t>GREEN, LINDA T</t>
  </si>
  <si>
    <t>1899119</t>
  </si>
  <si>
    <t>DC</t>
  </si>
  <si>
    <t>SATTERFIELD, RYAN, S</t>
  </si>
  <si>
    <t>478.00</t>
  </si>
  <si>
    <t>166.87</t>
  </si>
  <si>
    <t>311.13</t>
  </si>
  <si>
    <t>264952</t>
  </si>
  <si>
    <t>Caltrider, David</t>
  </si>
  <si>
    <t>SATTERFIELD, RYAN S</t>
  </si>
  <si>
    <t>1899125</t>
  </si>
  <si>
    <t>Rainey, Steven</t>
  </si>
  <si>
    <t>975.00</t>
  </si>
  <si>
    <t>671140</t>
  </si>
  <si>
    <t>1899139</t>
  </si>
  <si>
    <t>QUICK, ANGELA</t>
  </si>
  <si>
    <t>371.00</t>
  </si>
  <si>
    <t>5.00</t>
  </si>
  <si>
    <t>366.00</t>
  </si>
  <si>
    <t>249414</t>
  </si>
  <si>
    <t>1900413</t>
  </si>
  <si>
    <t>ALLEN, WILLARD, E</t>
  </si>
  <si>
    <t>255.00</t>
  </si>
  <si>
    <t>38.00</t>
  </si>
  <si>
    <t>217.00</t>
  </si>
  <si>
    <t>670721</t>
  </si>
  <si>
    <t>ALLEN, WILLARD E</t>
  </si>
  <si>
    <t>1899424</t>
  </si>
  <si>
    <t>03/14/2025</t>
  </si>
  <si>
    <t>JHM</t>
  </si>
  <si>
    <t>EILAND, STEPHEN, HENRY</t>
  </si>
  <si>
    <t>981.00</t>
  </si>
  <si>
    <t>649865</t>
  </si>
  <si>
    <t>Mitchell, James Heath</t>
  </si>
  <si>
    <t>EILAND, STEPHEN HENRY</t>
  </si>
  <si>
    <t>1899376</t>
  </si>
  <si>
    <t>LMS</t>
  </si>
  <si>
    <t>TREANOR, GREG</t>
  </si>
  <si>
    <t>661.00</t>
  </si>
  <si>
    <t>216966</t>
  </si>
  <si>
    <t>Sitton, Leah M</t>
  </si>
  <si>
    <t>1899481</t>
  </si>
  <si>
    <t>HAMILTON, EDWIN, J</t>
  </si>
  <si>
    <t>MEDICARE OF TEXAS</t>
  </si>
  <si>
    <t>500.00</t>
  </si>
  <si>
    <t>39.97</t>
  </si>
  <si>
    <t>460.03</t>
  </si>
  <si>
    <t>140702</t>
  </si>
  <si>
    <t>HAMILTON, EDWIN J</t>
  </si>
  <si>
    <t>1899568</t>
  </si>
  <si>
    <t>MTC</t>
  </si>
  <si>
    <t>Hopkins, Michael, A</t>
  </si>
  <si>
    <t>426.00</t>
  </si>
  <si>
    <t>323155</t>
  </si>
  <si>
    <t>Taylor, Mylene T</t>
  </si>
  <si>
    <t>Hopkins, Michael A</t>
  </si>
  <si>
    <t>1900455</t>
  </si>
  <si>
    <t>BROWN, JUSTIN, TANNER</t>
  </si>
  <si>
    <t>SEDGWICK 14152</t>
  </si>
  <si>
    <t>36089</t>
  </si>
  <si>
    <t>BROWN, JUSTIN TANNER</t>
  </si>
  <si>
    <t>1899616</t>
  </si>
  <si>
    <t>TMB</t>
  </si>
  <si>
    <t>Hall, Daniel, J</t>
  </si>
  <si>
    <t>UNITED HEALTHCARE</t>
  </si>
  <si>
    <t>83.00</t>
  </si>
  <si>
    <t>189247</t>
  </si>
  <si>
    <t>Bevill, Tashina M</t>
  </si>
  <si>
    <t>Hall, Daniel J</t>
  </si>
  <si>
    <t>1899669</t>
  </si>
  <si>
    <t>CMJ</t>
  </si>
  <si>
    <t>SCHMIDT, ROBERT</t>
  </si>
  <si>
    <t>97.00</t>
  </si>
  <si>
    <t>699263</t>
  </si>
  <si>
    <t>Janes, Colleen M</t>
  </si>
  <si>
    <t>1899630</t>
  </si>
  <si>
    <t>Milam, Ann</t>
  </si>
  <si>
    <t>598.00</t>
  </si>
  <si>
    <t>4.70</t>
  </si>
  <si>
    <t>593.30</t>
  </si>
  <si>
    <t>786491</t>
  </si>
  <si>
    <t>1899642</t>
  </si>
  <si>
    <t>BMW</t>
  </si>
  <si>
    <t>Boyer, Kyle, R</t>
  </si>
  <si>
    <t>326.00</t>
  </si>
  <si>
    <t>515070</t>
  </si>
  <si>
    <t>Wesselhoft, Breanna M</t>
  </si>
  <si>
    <t>Boyer, Kyle R</t>
  </si>
  <si>
    <t>1899679</t>
  </si>
  <si>
    <t>MDM</t>
  </si>
  <si>
    <t>Ransome, Alyssa, R</t>
  </si>
  <si>
    <t>AR HEALTH ADVANTAGE</t>
  </si>
  <si>
    <t>567.00</t>
  </si>
  <si>
    <t>542.00</t>
  </si>
  <si>
    <t>698651</t>
  </si>
  <si>
    <t>McMahon, Morgan D</t>
  </si>
  <si>
    <t>Ransome, Alyssa R</t>
  </si>
  <si>
    <t>1899694</t>
  </si>
  <si>
    <t>REESE, CALVIN</t>
  </si>
  <si>
    <t>480.00</t>
  </si>
  <si>
    <t>771598</t>
  </si>
  <si>
    <t>1900462</t>
  </si>
  <si>
    <t>CORNETT, LEONARD</t>
  </si>
  <si>
    <t>370.00</t>
  </si>
  <si>
    <t>215632</t>
  </si>
  <si>
    <t>1900068</t>
  </si>
  <si>
    <t>03/15/2025</t>
  </si>
  <si>
    <t>BNH</t>
  </si>
  <si>
    <t>SHIRLEY, GINGER, A</t>
  </si>
  <si>
    <t>FEDERAL BCBS TX</t>
  </si>
  <si>
    <t>846.50</t>
  </si>
  <si>
    <t>50.00</t>
  </si>
  <si>
    <t>796.50</t>
  </si>
  <si>
    <t>51021</t>
  </si>
  <si>
    <t>Johnson, Breann N</t>
  </si>
  <si>
    <t>SHIRLEY, GINGER A</t>
  </si>
  <si>
    <t>1900077</t>
  </si>
  <si>
    <t>COLLIER, CAROLYN, H</t>
  </si>
  <si>
    <t>473.00</t>
  </si>
  <si>
    <t>367.11</t>
  </si>
  <si>
    <t>105.89</t>
  </si>
  <si>
    <t>26684</t>
  </si>
  <si>
    <t>COLLIER, CAROLYN H</t>
  </si>
  <si>
    <t>1900078</t>
  </si>
  <si>
    <t>REEVES, RONEY, C</t>
  </si>
  <si>
    <t>420.00</t>
  </si>
  <si>
    <t>42929</t>
  </si>
  <si>
    <t>REEVES, RONEY C</t>
  </si>
  <si>
    <t>1899890</t>
  </si>
  <si>
    <t>DYE, HAIDEN</t>
  </si>
  <si>
    <t>240.00</t>
  </si>
  <si>
    <t>835259</t>
  </si>
  <si>
    <t>DYE, ADDY</t>
  </si>
  <si>
    <t>1899949</t>
  </si>
  <si>
    <t>SMITH, GREGORY</t>
  </si>
  <si>
    <t>24184</t>
  </si>
  <si>
    <t>1899991</t>
  </si>
  <si>
    <t>Williams, Brandon</t>
  </si>
  <si>
    <t>MUNICIPAL HEALTH</t>
  </si>
  <si>
    <t>636.00</t>
  </si>
  <si>
    <t>616.00</t>
  </si>
  <si>
    <t>835302</t>
  </si>
  <si>
    <t>williams, rebbecca</t>
  </si>
  <si>
    <t>1900005</t>
  </si>
  <si>
    <t>BARBAREE, BRAXX</t>
  </si>
  <si>
    <t>AMBETTER OF ARKANSAS</t>
  </si>
  <si>
    <t>518.00</t>
  </si>
  <si>
    <t>508.00</t>
  </si>
  <si>
    <t>748015</t>
  </si>
  <si>
    <t>BROOKES, Kylie K</t>
  </si>
  <si>
    <t>1900160</t>
  </si>
  <si>
    <t>Devore, Sarabeth</t>
  </si>
  <si>
    <t>CIGNA</t>
  </si>
  <si>
    <t>312.00</t>
  </si>
  <si>
    <t>277.00</t>
  </si>
  <si>
    <t>785560</t>
  </si>
  <si>
    <t>1900018</t>
  </si>
  <si>
    <t>Freeman, Shirley</t>
  </si>
  <si>
    <t>CIGNA HEALTHSPRING</t>
  </si>
  <si>
    <t>639.00</t>
  </si>
  <si>
    <t>367452</t>
  </si>
  <si>
    <t>1900025</t>
  </si>
  <si>
    <t>JONES, TRAVIS</t>
  </si>
  <si>
    <t>522.00</t>
  </si>
  <si>
    <t>355.13</t>
  </si>
  <si>
    <t>77024</t>
  </si>
  <si>
    <t>1900942</t>
  </si>
  <si>
    <t>03/17/2025</t>
  </si>
  <si>
    <t>RWT</t>
  </si>
  <si>
    <t>Nguyen, Annie</t>
  </si>
  <si>
    <t>TRICARE EAST</t>
  </si>
  <si>
    <t>448.00</t>
  </si>
  <si>
    <t>817310</t>
  </si>
  <si>
    <t>Terrell III, Robert W</t>
  </si>
  <si>
    <t>1900900</t>
  </si>
  <si>
    <t>CLG</t>
  </si>
  <si>
    <t>Dabbs, Tony</t>
  </si>
  <si>
    <t>MERITAIN HEALTH 853921</t>
  </si>
  <si>
    <t>617.00</t>
  </si>
  <si>
    <t>98.49</t>
  </si>
  <si>
    <t>518.51</t>
  </si>
  <si>
    <t>835359</t>
  </si>
  <si>
    <t>Gallegos, Christy L</t>
  </si>
  <si>
    <t>1900909</t>
  </si>
  <si>
    <t>LOFLAND, RONALD, G</t>
  </si>
  <si>
    <t>Arkansas Medicare</t>
  </si>
  <si>
    <t>385.00</t>
  </si>
  <si>
    <t>423314</t>
  </si>
  <si>
    <t>LOFLAND, RONALD G</t>
  </si>
  <si>
    <t>1900944</t>
  </si>
  <si>
    <t>Allen, Marilyn</t>
  </si>
  <si>
    <t>HUMANA CHOICE PPO - COMMERCIAL</t>
  </si>
  <si>
    <t>353.00</t>
  </si>
  <si>
    <t>328.00</t>
  </si>
  <si>
    <t>735016</t>
  </si>
  <si>
    <t>1900950</t>
  </si>
  <si>
    <t>BW</t>
  </si>
  <si>
    <t>Novak, Natalie</t>
  </si>
  <si>
    <t>344.00</t>
  </si>
  <si>
    <t>15.00</t>
  </si>
  <si>
    <t>329.00</t>
  </si>
  <si>
    <t>828945</t>
  </si>
  <si>
    <t>Whitwell, Bruce</t>
  </si>
  <si>
    <t>1900953</t>
  </si>
  <si>
    <t>PHILLIPS, CARMATH, A</t>
  </si>
  <si>
    <t>450949</t>
  </si>
  <si>
    <t>PHILLIPS, CARMATH A</t>
  </si>
  <si>
    <t>1900956</t>
  </si>
  <si>
    <t>Franklin, Savannah, L</t>
  </si>
  <si>
    <t>AR HEALTH ADVANTAGE BCBS</t>
  </si>
  <si>
    <t>346.00</t>
  </si>
  <si>
    <t>121.77</t>
  </si>
  <si>
    <t>224.23</t>
  </si>
  <si>
    <t>266684</t>
  </si>
  <si>
    <t>FRANKLIN, JENNIFER</t>
  </si>
  <si>
    <t>1900544</t>
  </si>
  <si>
    <t>Singleton, Jimmy</t>
  </si>
  <si>
    <t>637.00</t>
  </si>
  <si>
    <t>812798</t>
  </si>
  <si>
    <t>1900915</t>
  </si>
  <si>
    <t>SMART, KAITLYN, E</t>
  </si>
  <si>
    <t>504.00</t>
  </si>
  <si>
    <t>14865</t>
  </si>
  <si>
    <t>SMART, KAITLYN E</t>
  </si>
  <si>
    <t>1900945</t>
  </si>
  <si>
    <t>Jackson, Cassandra</t>
  </si>
  <si>
    <t>526.00</t>
  </si>
  <si>
    <t>491.00</t>
  </si>
  <si>
    <t>584240</t>
  </si>
  <si>
    <t>1900943</t>
  </si>
  <si>
    <t>Jack, Lynda S</t>
  </si>
  <si>
    <t>United HealthCare</t>
  </si>
  <si>
    <t>514.00</t>
  </si>
  <si>
    <t>499.00</t>
  </si>
  <si>
    <t>835351</t>
  </si>
  <si>
    <t>1900946</t>
  </si>
  <si>
    <t>LEMONS, TINA</t>
  </si>
  <si>
    <t>301.00</t>
  </si>
  <si>
    <t>592120</t>
  </si>
  <si>
    <t>1900947</t>
  </si>
  <si>
    <t>Profit, Karrington</t>
  </si>
  <si>
    <t>223.23</t>
  </si>
  <si>
    <t>769296</t>
  </si>
  <si>
    <t>1900961</t>
  </si>
  <si>
    <t>Hudson, Melissa</t>
  </si>
  <si>
    <t>589.00</t>
  </si>
  <si>
    <t>554.00</t>
  </si>
  <si>
    <t>536492</t>
  </si>
  <si>
    <t>1900951</t>
  </si>
  <si>
    <t>Matthews, Andrew, P</t>
  </si>
  <si>
    <t>304.00</t>
  </si>
  <si>
    <t>279.00</t>
  </si>
  <si>
    <t>348063</t>
  </si>
  <si>
    <t>Matthews, Andrew P</t>
  </si>
  <si>
    <t>1900957</t>
  </si>
  <si>
    <t>Rogers, Shantell</t>
  </si>
  <si>
    <t>675.00</t>
  </si>
  <si>
    <t>650.00</t>
  </si>
  <si>
    <t>835375</t>
  </si>
  <si>
    <t>1900963</t>
  </si>
  <si>
    <t>Curtis, Ramon</t>
  </si>
  <si>
    <t>835381</t>
  </si>
  <si>
    <t>1900958</t>
  </si>
  <si>
    <t>Tillman, Asher</t>
  </si>
  <si>
    <t>BLUE ADVANTAGE - ARKANSAS</t>
  </si>
  <si>
    <t>438.00</t>
  </si>
  <si>
    <t>408.00</t>
  </si>
  <si>
    <t>823910</t>
  </si>
  <si>
    <t>Jonathan, Tillman R</t>
  </si>
  <si>
    <t>1900954</t>
  </si>
  <si>
    <t>LEWKOWICZ, EMILY</t>
  </si>
  <si>
    <t>320.00</t>
  </si>
  <si>
    <t>585537</t>
  </si>
  <si>
    <t>Lewkowicz, Ryan</t>
  </si>
  <si>
    <t>1900533</t>
  </si>
  <si>
    <t>Newman, Cara</t>
  </si>
  <si>
    <t>SUPERIOR HEALTH PLAN</t>
  </si>
  <si>
    <t>410.00</t>
  </si>
  <si>
    <t>481069</t>
  </si>
  <si>
    <t>1900959</t>
  </si>
  <si>
    <t>Jones, Taylor</t>
  </si>
  <si>
    <t>432.98</t>
  </si>
  <si>
    <t>835376</t>
  </si>
  <si>
    <t>Jones, Russell</t>
  </si>
  <si>
    <t>1900960</t>
  </si>
  <si>
    <t>BOWLING, MARTHA, S</t>
  </si>
  <si>
    <t>237.00</t>
  </si>
  <si>
    <t>494760</t>
  </si>
  <si>
    <t>BOWLING, MARTHA S</t>
  </si>
  <si>
    <t>1900866</t>
  </si>
  <si>
    <t>ALEXANDER, JOHN, C</t>
  </si>
  <si>
    <t>AETNA</t>
  </si>
  <si>
    <t>40.00</t>
  </si>
  <si>
    <t>603.00</t>
  </si>
  <si>
    <t>134193</t>
  </si>
  <si>
    <t>ALEXANDER, JOHN C</t>
  </si>
  <si>
    <t>1900962</t>
  </si>
  <si>
    <t>Shack, Janet</t>
  </si>
  <si>
    <t>274.00</t>
  </si>
  <si>
    <t>793334</t>
  </si>
  <si>
    <t>1900594</t>
  </si>
  <si>
    <t>Redman, Bryar, J</t>
  </si>
  <si>
    <t>SENTRY INSURANCE</t>
  </si>
  <si>
    <t>48136</t>
  </si>
  <si>
    <t>Redman, Bryar J</t>
  </si>
  <si>
    <t>1900692</t>
  </si>
  <si>
    <t>DELANEY, BETTY, B</t>
  </si>
  <si>
    <t>BLUE CROSS BLUE SHIELD LA</t>
  </si>
  <si>
    <t>535.00</t>
  </si>
  <si>
    <t>758962</t>
  </si>
  <si>
    <t>DELANEY, BETTY B</t>
  </si>
  <si>
    <t>1900966</t>
  </si>
  <si>
    <t>RAYNOR, PAMELA, JEAN</t>
  </si>
  <si>
    <t>497212</t>
  </si>
  <si>
    <t>RAYNOR, PAMELA JEAN</t>
  </si>
  <si>
    <t>1900968</t>
  </si>
  <si>
    <t>PENNINGTON, CHASE, M</t>
  </si>
  <si>
    <t>QUAL CHOICE</t>
  </si>
  <si>
    <t>284.00</t>
  </si>
  <si>
    <t>163144</t>
  </si>
  <si>
    <t>PENNINGTON, CHASE M</t>
  </si>
  <si>
    <t>1900571</t>
  </si>
  <si>
    <t>HANSON, JAMES, N</t>
  </si>
  <si>
    <t>123931</t>
  </si>
  <si>
    <t>HANSON, JAMES N</t>
  </si>
  <si>
    <t>1900972</t>
  </si>
  <si>
    <t>MURRAY, KORAH</t>
  </si>
  <si>
    <t>CHAMPVA</t>
  </si>
  <si>
    <t>835409</t>
  </si>
  <si>
    <t>Murray, Eric</t>
  </si>
  <si>
    <t>1900974</t>
  </si>
  <si>
    <t>Murray, Klaire</t>
  </si>
  <si>
    <t>835411</t>
  </si>
  <si>
    <t>1900965</t>
  </si>
  <si>
    <t>MOORE, JACK, G</t>
  </si>
  <si>
    <t>GRAVIE ADMINISTRATIVE SERVICES</t>
  </si>
  <si>
    <t>524.00</t>
  </si>
  <si>
    <t>218.68</t>
  </si>
  <si>
    <t>305.32</t>
  </si>
  <si>
    <t>459463</t>
  </si>
  <si>
    <t>MOORE, CHARITY L</t>
  </si>
  <si>
    <t>1900509</t>
  </si>
  <si>
    <t/>
  </si>
  <si>
    <t>ANGUIANO, ERIK</t>
  </si>
  <si>
    <t>Cash Pay</t>
  </si>
  <si>
    <t>452200</t>
  </si>
  <si>
    <t>Urgent Care, Provider Mt. Pleasant</t>
  </si>
  <si>
    <t>1900977</t>
  </si>
  <si>
    <t>Cummings, Deloise</t>
  </si>
  <si>
    <t>AARP MEDICARE COMPLETE</t>
  </si>
  <si>
    <t>331.00</t>
  </si>
  <si>
    <t>311.00</t>
  </si>
  <si>
    <t>834043</t>
  </si>
  <si>
    <t>1900969</t>
  </si>
  <si>
    <t>Ort, Nathan</t>
  </si>
  <si>
    <t>442.00</t>
  </si>
  <si>
    <t>422.00</t>
  </si>
  <si>
    <t>758520</t>
  </si>
  <si>
    <t>1900970</t>
  </si>
  <si>
    <t>Baker, Blakely</t>
  </si>
  <si>
    <t>501.00</t>
  </si>
  <si>
    <t>791603</t>
  </si>
  <si>
    <t>1900973</t>
  </si>
  <si>
    <t>Eastman, JENNIFER, C</t>
  </si>
  <si>
    <t>UMR</t>
  </si>
  <si>
    <t>306.00</t>
  </si>
  <si>
    <t>153932</t>
  </si>
  <si>
    <t>Eastman, JENNIFER C</t>
  </si>
  <si>
    <t>1900980</t>
  </si>
  <si>
    <t>WILLIS, DREW</t>
  </si>
  <si>
    <t>325.00</t>
  </si>
  <si>
    <t>835432</t>
  </si>
  <si>
    <t>1900975</t>
  </si>
  <si>
    <t>Chism, Jakiaa</t>
  </si>
  <si>
    <t>FEDERAL BLUE CROSS BLUE SHIELD AR</t>
  </si>
  <si>
    <t>528.00</t>
  </si>
  <si>
    <t>835413</t>
  </si>
  <si>
    <t>1900976</t>
  </si>
  <si>
    <t>Conn, Brantly, J</t>
  </si>
  <si>
    <t>384.00</t>
  </si>
  <si>
    <t>720201</t>
  </si>
  <si>
    <t>Conn, Jennifer</t>
  </si>
  <si>
    <t>1900983</t>
  </si>
  <si>
    <t>ROY, SANDRA, A</t>
  </si>
  <si>
    <t>309534</t>
  </si>
  <si>
    <t>ROY, SANDRA A</t>
  </si>
  <si>
    <t>1900978</t>
  </si>
  <si>
    <t>Kling, Marlie</t>
  </si>
  <si>
    <t>835428</t>
  </si>
  <si>
    <t>1900589</t>
  </si>
  <si>
    <t>WHITMAN, BRADY</t>
  </si>
  <si>
    <t>AR MUNICIPAL LEAGUE WC TRUST</t>
  </si>
  <si>
    <t>193660</t>
  </si>
  <si>
    <t>WHITMAN, MICHELLE RENEE</t>
  </si>
  <si>
    <t>1900987</t>
  </si>
  <si>
    <t>Apple, Conner</t>
  </si>
  <si>
    <t>365.00</t>
  </si>
  <si>
    <t>835446</t>
  </si>
  <si>
    <t>Apple, Austin</t>
  </si>
  <si>
    <t>1900981</t>
  </si>
  <si>
    <t>DAVIS, Mitchell, W</t>
  </si>
  <si>
    <t>556654</t>
  </si>
  <si>
    <t>DAVIS, Mitchell W</t>
  </si>
  <si>
    <t>1900775</t>
  </si>
  <si>
    <t>CORSO, EMILY</t>
  </si>
  <si>
    <t>HANOVER INSURANCE COMPANY W/C</t>
  </si>
  <si>
    <t>834061</t>
  </si>
  <si>
    <t>Urgent Care, Provider Moore</t>
  </si>
  <si>
    <t>1900993</t>
  </si>
  <si>
    <t>Satterfield, Season</t>
  </si>
  <si>
    <t>494.00</t>
  </si>
  <si>
    <t>653125</t>
  </si>
  <si>
    <t>1900985</t>
  </si>
  <si>
    <t>Atkinson, Teresa</t>
  </si>
  <si>
    <t>476.00</t>
  </si>
  <si>
    <t>722288</t>
  </si>
  <si>
    <t>1900995</t>
  </si>
  <si>
    <t>STEWART, AUBREY, K</t>
  </si>
  <si>
    <t>835457</t>
  </si>
  <si>
    <t>STEWART, AUBREY K</t>
  </si>
  <si>
    <t>1900986</t>
  </si>
  <si>
    <t>Loy, Kameelah</t>
  </si>
  <si>
    <t>386.00</t>
  </si>
  <si>
    <t>628304</t>
  </si>
  <si>
    <t>1900996</t>
  </si>
  <si>
    <t>Dickinson, Ben</t>
  </si>
  <si>
    <t>738942</t>
  </si>
  <si>
    <t>1900989</t>
  </si>
  <si>
    <t>Helms, Louis</t>
  </si>
  <si>
    <t>596917</t>
  </si>
  <si>
    <t>1900997</t>
  </si>
  <si>
    <t>CLEGG, VICTOR, C</t>
  </si>
  <si>
    <t>104.16</t>
  </si>
  <si>
    <t>221.84</t>
  </si>
  <si>
    <t>244521</t>
  </si>
  <si>
    <t>CLEGG, VICTOR C</t>
  </si>
  <si>
    <t>1900998</t>
  </si>
  <si>
    <t>Quillen, William</t>
  </si>
  <si>
    <t>399.00</t>
  </si>
  <si>
    <t>703077</t>
  </si>
  <si>
    <t>1900999</t>
  </si>
  <si>
    <t>Barnett, John</t>
  </si>
  <si>
    <t>EVERETT BUICK GMC</t>
  </si>
  <si>
    <t>806293</t>
  </si>
  <si>
    <t>1901000</t>
  </si>
  <si>
    <t>Christian, Willie</t>
  </si>
  <si>
    <t>835474</t>
  </si>
  <si>
    <t>1900773</t>
  </si>
  <si>
    <t>VOWELL, KAYLA, C</t>
  </si>
  <si>
    <t>Patient</t>
  </si>
  <si>
    <t>796133</t>
  </si>
  <si>
    <t>Urgent Care, Provider Marshall</t>
  </si>
  <si>
    <t>VOWELL, KAYLA C</t>
  </si>
  <si>
    <t>1900939</t>
  </si>
  <si>
    <t>Tillet, Rafael, Y</t>
  </si>
  <si>
    <t>829644</t>
  </si>
  <si>
    <t>Tillet, Rafael Y</t>
  </si>
  <si>
    <t>1900988</t>
  </si>
  <si>
    <t>Shorty, Aleah</t>
  </si>
  <si>
    <t>182.23</t>
  </si>
  <si>
    <t>590619</t>
  </si>
  <si>
    <t>Shorty, Kayla</t>
  </si>
  <si>
    <t>1900539</t>
  </si>
  <si>
    <t>RIVERA, RICARDO</t>
  </si>
  <si>
    <t>Titan Steel Construction</t>
  </si>
  <si>
    <t>833884</t>
  </si>
  <si>
    <t>1901003</t>
  </si>
  <si>
    <t>Jones, Karla, M</t>
  </si>
  <si>
    <t>294.00</t>
  </si>
  <si>
    <t>555184</t>
  </si>
  <si>
    <t>Jones, Karla M</t>
  </si>
  <si>
    <t>1900847</t>
  </si>
  <si>
    <t>RATCLIFF, TEVIN, A</t>
  </si>
  <si>
    <t>SEDGWICK</t>
  </si>
  <si>
    <t>426756</t>
  </si>
  <si>
    <t>RATCLIFF, TEVIN A</t>
  </si>
  <si>
    <t>1900733</t>
  </si>
  <si>
    <t>ADH</t>
  </si>
  <si>
    <t>Russell, Todd, A</t>
  </si>
  <si>
    <t>521.00</t>
  </si>
  <si>
    <t>753100</t>
  </si>
  <si>
    <t>Hatfield, Austin D</t>
  </si>
  <si>
    <t>Russell, Todd A</t>
  </si>
  <si>
    <t>1901006</t>
  </si>
  <si>
    <t>COLEMAN, MARTHA</t>
  </si>
  <si>
    <t>329338</t>
  </si>
  <si>
    <t>1901005</t>
  </si>
  <si>
    <t>Bottoms, Milla</t>
  </si>
  <si>
    <t>235.00</t>
  </si>
  <si>
    <t>835497</t>
  </si>
  <si>
    <t>1901001</t>
  </si>
  <si>
    <t>Ingle, Blake</t>
  </si>
  <si>
    <t>818352</t>
  </si>
  <si>
    <t>1901009</t>
  </si>
  <si>
    <t>Gillespie, Dawn</t>
  </si>
  <si>
    <t>835500</t>
  </si>
  <si>
    <t>1901008</t>
  </si>
  <si>
    <t>Baldwin, Jessica</t>
  </si>
  <si>
    <t>SUMMIT HOLDINGS - WC</t>
  </si>
  <si>
    <t>486.00</t>
  </si>
  <si>
    <t>835498</t>
  </si>
  <si>
    <t>Urgent Care, Provider Bryant</t>
  </si>
  <si>
    <t>1901004</t>
  </si>
  <si>
    <t>MINTON, CARISSA, L</t>
  </si>
  <si>
    <t>259.00</t>
  </si>
  <si>
    <t>305120</t>
  </si>
  <si>
    <t>MINTON, CARISSA L</t>
  </si>
  <si>
    <t>1901021</t>
  </si>
  <si>
    <t>Tucker, Jade</t>
  </si>
  <si>
    <t>ALLWELL</t>
  </si>
  <si>
    <t>516.00</t>
  </si>
  <si>
    <t>471.00</t>
  </si>
  <si>
    <t>654239</t>
  </si>
  <si>
    <t>1901007</t>
  </si>
  <si>
    <t>Thomas, Kaleb</t>
  </si>
  <si>
    <t>595.00</t>
  </si>
  <si>
    <t>570.00</t>
  </si>
  <si>
    <t>735591</t>
  </si>
  <si>
    <t>1900821</t>
  </si>
  <si>
    <t>ALB</t>
  </si>
  <si>
    <t>Torrans, Demita, DEANNE</t>
  </si>
  <si>
    <t>21314</t>
  </si>
  <si>
    <t>Bowen, Angela L</t>
  </si>
  <si>
    <t>Torrans, Demita DEANNE</t>
  </si>
  <si>
    <t>1901010</t>
  </si>
  <si>
    <t>DICKERSON, DESTINY</t>
  </si>
  <si>
    <t>379.00</t>
  </si>
  <si>
    <t>725122</t>
  </si>
  <si>
    <t>1901020</t>
  </si>
  <si>
    <t>BURNS, TERRY</t>
  </si>
  <si>
    <t>681059</t>
  </si>
  <si>
    <t>1901002</t>
  </si>
  <si>
    <t>Screeton, Emily, R</t>
  </si>
  <si>
    <t>322155</t>
  </si>
  <si>
    <t>Screeton, Emily R</t>
  </si>
  <si>
    <t>1900480</t>
  </si>
  <si>
    <t>LND</t>
  </si>
  <si>
    <t>Lopez Tabares, Izabella, R</t>
  </si>
  <si>
    <t>580.00</t>
  </si>
  <si>
    <t>794358</t>
  </si>
  <si>
    <t>Dashner, Lindsey N</t>
  </si>
  <si>
    <t>Lopez, Noemi</t>
  </si>
  <si>
    <t>1901013</t>
  </si>
  <si>
    <t>Goudeau, Colton</t>
  </si>
  <si>
    <t>195.26</t>
  </si>
  <si>
    <t>399.74</t>
  </si>
  <si>
    <t>835508</t>
  </si>
  <si>
    <t>1901018</t>
  </si>
  <si>
    <t>Adams, Jamie</t>
  </si>
  <si>
    <t>172.88</t>
  </si>
  <si>
    <t>'-172.88</t>
  </si>
  <si>
    <t>835506</t>
  </si>
  <si>
    <t>1901015</t>
  </si>
  <si>
    <t>Young, Carol, A</t>
  </si>
  <si>
    <t>333.00</t>
  </si>
  <si>
    <t>420641</t>
  </si>
  <si>
    <t>Young, Carol A</t>
  </si>
  <si>
    <t>1901026</t>
  </si>
  <si>
    <t>Hooker, Kylie, P</t>
  </si>
  <si>
    <t>124.84</t>
  </si>
  <si>
    <t>220.16</t>
  </si>
  <si>
    <t>194672</t>
  </si>
  <si>
    <t>Hooker, Kylie P</t>
  </si>
  <si>
    <t>1901016</t>
  </si>
  <si>
    <t>Griffin-Merino, Rory</t>
  </si>
  <si>
    <t>TCC/MULTIPLAN</t>
  </si>
  <si>
    <t>466.00</t>
  </si>
  <si>
    <t>835427</t>
  </si>
  <si>
    <t>Merino, Erik</t>
  </si>
  <si>
    <t>1901017</t>
  </si>
  <si>
    <t>Green, Emma, Grace</t>
  </si>
  <si>
    <t>565.00</t>
  </si>
  <si>
    <t>530.00</t>
  </si>
  <si>
    <t>817288</t>
  </si>
  <si>
    <t>Green, Emma Grace</t>
  </si>
  <si>
    <t>1901019</t>
  </si>
  <si>
    <t>Kellebrew, Julie</t>
  </si>
  <si>
    <t>430.00</t>
  </si>
  <si>
    <t>400.00</t>
  </si>
  <si>
    <t>742794</t>
  </si>
  <si>
    <t>1901030</t>
  </si>
  <si>
    <t>MCCURDY, MADISON</t>
  </si>
  <si>
    <t>ARKANSAS MEDICAID</t>
  </si>
  <si>
    <t>835522</t>
  </si>
  <si>
    <t>1901031</t>
  </si>
  <si>
    <t>DeVore, Justin</t>
  </si>
  <si>
    <t>495.00</t>
  </si>
  <si>
    <t>835523</t>
  </si>
  <si>
    <t>1901023</t>
  </si>
  <si>
    <t>Roark, Colin</t>
  </si>
  <si>
    <t>390.00</t>
  </si>
  <si>
    <t>835517</t>
  </si>
  <si>
    <t>1901024</t>
  </si>
  <si>
    <t>Gomez, Tabetha, N</t>
  </si>
  <si>
    <t>283786</t>
  </si>
  <si>
    <t>Gomez, Tabetha N</t>
  </si>
  <si>
    <t>1901029</t>
  </si>
  <si>
    <t>Zachery, Cassey</t>
  </si>
  <si>
    <t>281.00</t>
  </si>
  <si>
    <t>271.00</t>
  </si>
  <si>
    <t>835521</t>
  </si>
  <si>
    <t>1901028</t>
  </si>
  <si>
    <t>ELLIOTT, MONIQUE, T</t>
  </si>
  <si>
    <t>546.50</t>
  </si>
  <si>
    <t>521.50</t>
  </si>
  <si>
    <t>192313</t>
  </si>
  <si>
    <t>ELLIOTT, MONIQUE T</t>
  </si>
  <si>
    <t>1901038</t>
  </si>
  <si>
    <t>CED</t>
  </si>
  <si>
    <t>Martin, Ethan</t>
  </si>
  <si>
    <t>BLUE CROSS  BLUE SHIELD OK</t>
  </si>
  <si>
    <t>631.00</t>
  </si>
  <si>
    <t>445103</t>
  </si>
  <si>
    <t>Davis, Cora E</t>
  </si>
  <si>
    <t>martin, shauna</t>
  </si>
  <si>
    <t>1901032</t>
  </si>
  <si>
    <t>Turney, Prescott</t>
  </si>
  <si>
    <t>670.00</t>
  </si>
  <si>
    <t>630.00</t>
  </si>
  <si>
    <t>835519</t>
  </si>
  <si>
    <t>TURNEY, VERA</t>
  </si>
  <si>
    <t>1901033</t>
  </si>
  <si>
    <t>PETTIS, Carrigan</t>
  </si>
  <si>
    <t>4.50</t>
  </si>
  <si>
    <t>210.50</t>
  </si>
  <si>
    <t>637779</t>
  </si>
  <si>
    <t>PETTIS, YOLANDA N</t>
  </si>
  <si>
    <t>1901034</t>
  </si>
  <si>
    <t>Howell, Isaiah, S</t>
  </si>
  <si>
    <t>565644</t>
  </si>
  <si>
    <t>HOWELL, AVA</t>
  </si>
  <si>
    <t>App Faciliyty</t>
  </si>
  <si>
    <t>State</t>
  </si>
  <si>
    <t>POS</t>
  </si>
  <si>
    <t>Fee schedule</t>
  </si>
  <si>
    <t>Insurance</t>
  </si>
  <si>
    <t>CPT1</t>
  </si>
  <si>
    <t>CPT2</t>
  </si>
  <si>
    <t>CPT3</t>
  </si>
  <si>
    <t>CPT4</t>
  </si>
  <si>
    <t>CPT5</t>
  </si>
  <si>
    <t>CPT6</t>
  </si>
  <si>
    <t>CPT7</t>
  </si>
  <si>
    <t>CPT8</t>
  </si>
  <si>
    <t>CPT9</t>
  </si>
  <si>
    <t>CPT10</t>
  </si>
  <si>
    <t>CPT11</t>
  </si>
  <si>
    <t>CPT12</t>
  </si>
  <si>
    <t>Region</t>
  </si>
  <si>
    <t>Blanchard:HealthCARE Express - Blanchard</t>
  </si>
  <si>
    <t>AETNA 2023(2023-01-06-2026-01-02)</t>
  </si>
  <si>
    <t>20</t>
  </si>
  <si>
    <t>99213</t>
  </si>
  <si>
    <t>87636</t>
  </si>
  <si>
    <t>96372</t>
  </si>
  <si>
    <t>J1100</t>
  </si>
  <si>
    <t>Longview:HealthCARE Express - Longview</t>
  </si>
  <si>
    <t>TRICARE 2023(2023-01-06-2026-01-02)</t>
  </si>
  <si>
    <t>99214</t>
  </si>
  <si>
    <t>71046</t>
  </si>
  <si>
    <t>93000</t>
  </si>
  <si>
    <t>94640</t>
  </si>
  <si>
    <t>87807</t>
  </si>
  <si>
    <t>J7613</t>
  </si>
  <si>
    <t>J7644</t>
  </si>
  <si>
    <t>Atlanta:HealthCARE Express - Atlanta</t>
  </si>
  <si>
    <t>BCBS TX 2023(2023-01-06-2026-01-02)</t>
  </si>
  <si>
    <t>99204</t>
  </si>
  <si>
    <t>HealthCARE Express - Richmond Road</t>
  </si>
  <si>
    <t>96360</t>
  </si>
  <si>
    <t>83036</t>
  </si>
  <si>
    <t>81003</t>
  </si>
  <si>
    <t>J7030</t>
  </si>
  <si>
    <t>80053</t>
  </si>
  <si>
    <t>96127</t>
  </si>
  <si>
    <t>36415</t>
  </si>
  <si>
    <t>J2405</t>
  </si>
  <si>
    <t>TC030</t>
  </si>
  <si>
    <t>UHC 2023(2023-01-06-2026-01-02)</t>
  </si>
  <si>
    <t>11</t>
  </si>
  <si>
    <t>81025</t>
  </si>
  <si>
    <t>MWC:HealthCARE Express - Midwest City</t>
  </si>
  <si>
    <t>MEDICARE 2023-2023(2023-01-05-2026-01-02)</t>
  </si>
  <si>
    <t>87880</t>
  </si>
  <si>
    <t>Bryant:HealthCARE Express - Bryant</t>
  </si>
  <si>
    <t>J1885</t>
  </si>
  <si>
    <t>CIGNA 2023(2023-01-06-2026-01-02)</t>
  </si>
  <si>
    <t>99408</t>
  </si>
  <si>
    <t>Maumelle:HealthCARE Express - Maumelle</t>
  </si>
  <si>
    <t>BCBS AR 2023(2023-01-06-2026-01-02)</t>
  </si>
  <si>
    <t>87428</t>
  </si>
  <si>
    <t>Edmond:HealthCARE Express - Edmond</t>
  </si>
  <si>
    <t>STANDARD 2023(2023-01-05-2026-01-02)</t>
  </si>
  <si>
    <t>Sherwood:HealthCARE Express - Sherwood</t>
  </si>
  <si>
    <t>69200</t>
  </si>
  <si>
    <t>WV:HealthCARE Express - Wake Village</t>
  </si>
  <si>
    <t>10</t>
  </si>
  <si>
    <t>87426</t>
  </si>
  <si>
    <t>87804</t>
  </si>
  <si>
    <t>J1010</t>
  </si>
  <si>
    <t>ARBlvd:HealthCARE Express - Arkansas Blvd</t>
  </si>
  <si>
    <t>HealthCARE Express - Occupational Medicine</t>
  </si>
  <si>
    <t>WC - TX 2023(2023-01-06-2026-01-02)</t>
  </si>
  <si>
    <t>99203</t>
  </si>
  <si>
    <t>S9088</t>
  </si>
  <si>
    <t>99080</t>
  </si>
  <si>
    <t>Marshall:HealthCARE Express - Marshall</t>
  </si>
  <si>
    <t>0240U</t>
  </si>
  <si>
    <t>73502</t>
  </si>
  <si>
    <t>J0696</t>
  </si>
  <si>
    <t>96365</t>
  </si>
  <si>
    <t>96361</t>
  </si>
  <si>
    <t>96375</t>
  </si>
  <si>
    <t>J0780</t>
  </si>
  <si>
    <t>96374</t>
  </si>
  <si>
    <t>85025</t>
  </si>
  <si>
    <t>84436</t>
  </si>
  <si>
    <t>85018</t>
  </si>
  <si>
    <t>MtPleasant:HealthCARE Express - Mount Pleasant</t>
  </si>
  <si>
    <t>Choctaw:HealthCARE Express - Choctaw</t>
  </si>
  <si>
    <t>Imaging:HealthCARE Express - Imaging</t>
  </si>
  <si>
    <t>73721</t>
  </si>
  <si>
    <t>99215</t>
  </si>
  <si>
    <t>73030</t>
  </si>
  <si>
    <t>72120</t>
  </si>
  <si>
    <t>73130</t>
  </si>
  <si>
    <t>L3908</t>
  </si>
  <si>
    <t>20605</t>
  </si>
  <si>
    <t>J3301</t>
  </si>
  <si>
    <t>TC035</t>
  </si>
  <si>
    <t>TC065</t>
  </si>
  <si>
    <t>20552</t>
  </si>
  <si>
    <t>DeQueen:HealthCARE Express - DeQueen</t>
  </si>
  <si>
    <t>HUMANA 2023(2023-01-06-2026-01-02)</t>
  </si>
  <si>
    <t>90715</t>
  </si>
  <si>
    <t>90471</t>
  </si>
  <si>
    <t>12001</t>
  </si>
  <si>
    <t>BCBS LA 2023(2023-01-06-2026-01-02)</t>
  </si>
  <si>
    <t>QUALCHOICE 2023(2023-01-06-2026-01-02)</t>
  </si>
  <si>
    <t>CHAMPVA 2023(2023-01-06-2026-01-02)</t>
  </si>
  <si>
    <t>J3420</t>
  </si>
  <si>
    <t>Moore:HealthCARE Express - Moore</t>
  </si>
  <si>
    <t>73560</t>
  </si>
  <si>
    <t>72100</t>
  </si>
  <si>
    <t>J0702</t>
  </si>
  <si>
    <t>TC080</t>
  </si>
  <si>
    <t>CPEST</t>
  </si>
  <si>
    <t>J2550</t>
  </si>
  <si>
    <t>AR MEDICAID 2023(2023-01-01-2026-01-02)</t>
  </si>
  <si>
    <t>BLUE CROSS BLUE SHIELD OK</t>
  </si>
  <si>
    <t>BCBS OK 2023(2023-01-06-2026-01-02)</t>
  </si>
  <si>
    <t>A9150</t>
  </si>
  <si>
    <t>No Sep E&amp;M</t>
  </si>
  <si>
    <t>LOS</t>
  </si>
  <si>
    <t>Pt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</si>
</sst>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indexed="8"/>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43"/>
  <sheetViews>
    <sheetView tabSelected="1" topLeftCell="M1" workbookViewId="0">
      <selection activeCell="U20" sqref="U20"/>
    </sheetView>
  </sheetViews>
  <sheetFormatPr defaultRowHeight="14.4" x14ac:dyDescent="0.3"/>
  <sheetData>
    <row r="1" spans="1:35" x14ac:dyDescent="0.3">
      <c r="A1" t="s">
        <v>0</v>
      </c>
      <c r="B1" t="s">
        <v>1</v>
      </c>
      <c r="C1" t="s">
        <v>2</v>
      </c>
      <c r="D1" t="s">
        <v>3</v>
      </c>
      <c r="E1" t="s">
        <v>4</v>
      </c>
      <c r="F1" t="s">
        <v>5</v>
      </c>
      <c r="G1" t="s">
        <v>6</v>
      </c>
      <c r="H1" t="s">
        <v>7</v>
      </c>
      <c r="I1" t="s">
        <v>8</v>
      </c>
      <c r="J1" t="s">
        <v>9</v>
      </c>
      <c r="K1" t="s">
        <v>10</v>
      </c>
      <c r="L1" t="s">
        <v>11</v>
      </c>
      <c r="M1" t="s">
        <v>12</v>
      </c>
      <c r="N1" t="s">
        <v>13</v>
      </c>
      <c r="O1" t="s">
        <v>821</v>
      </c>
      <c r="P1" t="s">
        <v>822</v>
      </c>
      <c r="Q1" t="s">
        <v>823</v>
      </c>
      <c r="R1" t="s">
        <v>824</v>
      </c>
      <c r="S1" t="s">
        <v>825</v>
      </c>
      <c r="T1" t="s">
        <v>826</v>
      </c>
      <c r="U1" t="s">
        <v>827</v>
      </c>
      <c r="V1" t="s">
        <v>828</v>
      </c>
      <c r="W1" t="s">
        <v>829</v>
      </c>
      <c r="X1" t="s">
        <v>830</v>
      </c>
      <c r="Y1" t="s">
        <v>831</v>
      </c>
      <c r="Z1" t="s">
        <v>832</v>
      </c>
      <c r="AA1" t="s">
        <v>833</v>
      </c>
      <c r="AB1" t="s">
        <v>834</v>
      </c>
      <c r="AC1" t="s">
        <v>835</v>
      </c>
      <c r="AD1" t="s">
        <v>836</v>
      </c>
      <c r="AE1" t="s">
        <v>837</v>
      </c>
      <c r="AF1" s="1" t="s">
        <v>942</v>
      </c>
      <c r="AG1" s="1" t="s">
        <v>943</v>
      </c>
      <c r="AH1" s="1" t="s">
        <v>944</v>
      </c>
      <c r="AI1" t="s">
        <v>838</v>
      </c>
    </row>
    <row r="2" spans="1:35" x14ac:dyDescent="0.3">
      <c r="A2" t="s">
        <v>14</v>
      </c>
      <c r="B2" t="s">
        <v>15</v>
      </c>
      <c r="C2" t="s">
        <v>16</v>
      </c>
      <c r="D2" t="s">
        <v>17</v>
      </c>
      <c r="E2" t="s">
        <v>18</v>
      </c>
      <c r="F2" t="s">
        <v>19</v>
      </c>
      <c r="G2" t="s">
        <v>20</v>
      </c>
      <c r="H2" t="s">
        <v>21</v>
      </c>
      <c r="I2" t="s">
        <v>21</v>
      </c>
      <c r="J2" t="s">
        <v>22</v>
      </c>
      <c r="K2" t="s">
        <v>23</v>
      </c>
      <c r="L2" t="s">
        <v>24</v>
      </c>
      <c r="M2" t="s">
        <v>25</v>
      </c>
      <c r="N2" t="s">
        <v>17</v>
      </c>
      <c r="O2" t="s">
        <v>839</v>
      </c>
      <c r="P2" t="str" cm="1">
        <f t="array" ref="P2">_xlfn.IFS(ISNUMBER(SEARCH("AEIC:", O2)), "Arkansas",ISNUMBER(SEARCH("STM:", O2)), "Texas",ISNUMBER(SEARCH("BILLING:", O2)), "Texas",ISNUMBER(SEARCH("AM:", O2)), "Texas",ISNUMBER(SEARCH("ARBlvd:", O2)), "Arkansas",ISNUMBER(SEARCH("Atlanta:", O2)), "Texas",ISNUMBER(SEARCH("Blanchard:", O2)), "Louisiana",ISNUMBER(SEARCH("Bryant:", O2)), "Arkansas",ISNUMBER(SEARCH("Choctaw:", O2)), "Oklahoma",ISNUMBER(SEARCH("Choc Allgy:", O2)), "Oklahoma",ISNUMBER(SEARCH("DeQueen:", O2)), "Arkansas",ISNUMBER(SEARCH("Edmond:", O2)), "Oklahoma",ISNUMBER(SEARCH("Edmd Aller:", O2)), "Oklahoma",ISNUMBER(SEARCH("Imaging:", O2)), "Texas",ISNUMBER(SEARCH("Longview:", O2)), "Texas",ISNUMBER(SEARCH("Marshall:", O2)), "Texas",ISNUMBER(SEARCH("Mar Allerg:", O2)), "Texas",ISNUMBER(SEARCH("Maumelle:", O2)), "Arkansas",ISNUMBER(SEARCH("MWC:", O2)), "Oklahoma",ISNUMBER(SEARCH("MWC Allgy:", O2)), "Oklahoma",ISNUMBER(SEARCH("Moore:", O2)), "Oklahoma",ISNUMBER(SEARCH("MooreAllgy:", O2)), "Oklahoma",ISNUMBER(SEARCH("MtPleasant:", O2)), "Texas",ISNUMBER(SEARCH("OccOffsite:", O2)), "Texas",ISNUMBER(SEARCH("Pain Mgmt:", O2)), "Texas",ISNUMBER(SEARCH("Paris:", O2)), "Texas",ISNUMBER(SEARCH("PT:", O2)), "Texas",ISNUMBER(SEARCH("RR Allergy:", O2)), "Texas",ISNUMBER(SEARCH("Sherwood:", O2)), "Arkansas",ISNUMBER(SEARCH("WV:", O2)), "Texas",ISNUMBER(SEARCH("Nur-Home:", O2)), "Texas",ISNUMBER(SEARCH("THC:", O2)), "Texas",ISNUMBER(SEARCH("WVTC:", O2)), "Texas",ISNUMBER(SEARCH("TSC:", O2)), "Texas",ISNUMBER(SEARCH("V-AR Blvd:", O2)), "Arkansas",ISNUMBER(SEARCH("V-Maumelle:", O2)), "Arkansas",ISNUMBER(SEARCH("V-Atlanta:", O2)), "Texas",ISNUMBER(SEARCH("VBlanchard:", O2)), "Louisiana",ISNUMBER(SEARCH("V-Bryant:", O2)), "Arkansas",ISNUMBER(SEARCH("V-Choctaw:", O2)), "Oklahoma",ISNUMBER(SEARCH("V-DeQueen:", O2)), "Arkansas",ISNUMBER(SEARCH("V-Longview:", O2)), "Texas",ISNUMBER(SEARCH("V-Marshall:", O2)), "Texas",ISNUMBER(SEARCH("V-MWC:", O2)), "Oklahoma",ISNUMBER(SEARCH("V-Moore:", O2)), "Oklahoma",ISNUMBER(SEARCH("V-MP:", O2)), "Texas",ISNUMBER(SEARCH("V-Edmond:", O2)), "Oklahoma",ISNUMBER(SEARCH("V-Paris:", O2)), "Texas",ISNUMBER(SEARCH("V-RR:", O2)), "Texas",ISNUMBER(SEARCH("V-Sherwood:", O2)), "Arkansas",ISNUMBER(SEARCH("V-WV:", O2)), "Texas",ISNUMBER(SEARCH("HealthCARE Express - Richmond Road", O2)), "Texas",ISNUMBER(SEARCH("HealthCARE Express - Occupational Medicine", O2)), "Texas")</f>
        <v>Louisiana</v>
      </c>
      <c r="Q2" t="s">
        <v>841</v>
      </c>
      <c r="R2" t="s">
        <v>840</v>
      </c>
      <c r="S2" t="s">
        <v>18</v>
      </c>
      <c r="T2" t="s">
        <v>842</v>
      </c>
      <c r="U2" t="s">
        <v>843</v>
      </c>
      <c r="V2" t="s">
        <v>844</v>
      </c>
      <c r="W2" t="s">
        <v>845</v>
      </c>
      <c r="AF2" t="str" cm="1">
        <f t="array" ref="AF2">IF(SUMPRODUCT(--ISNUMBER(SEARCH("992",T2:AE2)))&gt;0, "E&amp;M", "No E&amp;M")</f>
        <v>E&amp;M</v>
      </c>
      <c r="AG2" t="str">
        <f t="shared" ref="AG2" si="0">IFERROR(MID(T2,SEARCH("992",T2),5), IFERROR(MID(U2,SEARCH("992",U2),5), IFERROR(MID(V2,SEARCH("992",V2),5), IFERROR(MID(W2,SEARCH("992",W2),5), IFERROR(MID(X2,SEARCH("992",X2),5), IFERROR(MID(Y2,SEARCH("992",Y2),5), IFERROR(MID(Z2,SEARCH("992",Z2),5), IFERROR(MID(AA2,SEARCH("992",AA2),5), IFERROR(MID(AB2,SEARCH("992",AB2),5), IFERROR(MID(AC2,SEARCH("992",AC2),5), IFERROR(MID(AD2,SEARCH("992",AD2),5), IFERROR(MID(AE2,SEARCH("992",AE2),5), "No E&amp;M"))))))))))))</f>
        <v>99213</v>
      </c>
      <c r="AH2" t="str">
        <f t="shared" ref="AH2" si="1">IF(ISNUMBER(SEARCH("9920", AG2)), "New Patient", IF(ISNUMBER(SEARCH("9921", AG2)), "Estd. Patient", IF(ISNUMBER(SEARCH("No E&amp;M", AG2)), "No E&amp;M", "")))</f>
        <v>Estd. Patient</v>
      </c>
      <c r="AI2" t="str">
        <f t="shared" ref="AI2:AI33" si="2">IF(ISNUMBER(SEARCH("McCrary, D",M2)),"Age Management",IF(ISNUMBER(SEARCH("Stanley, R",M2)),"Age Management",IF(ISNUMBER(SEARCH("Garner, P",M2)),"Little Rock Region",IF(ISNUMBER(SEARCH("Golden, C",M2)),"Little Rock Region",IF(ISNUMBER(SEARCH("Kordsmeier, E",M2)),"Little Rock Region",IF(ISNUMBER(SEARCH("Martin, S",M2)),"Little Rock Region",IF(ISNUMBER(SEARCH("Terrell III, R",M2)),"Little Rock Region",IF(ISNUMBER(SEARCH("Waheed, I",M2)),"Little Rock Region",IF(ISNUMBER(SEARCH("Whitwell, B",M2)),"Little Rock Region",IF(ISNUMBER(SEARCH("Anderson, R",M2)),"Oklahoma",IF(ISNUMBER(SEARCH("Baker, S",M2)),"Oklahoma",IF(ISNUMBER(SEARCH("Bishop, K",M2)),"Oklahoma",IF(ISNUMBER(SEARCH("Davis, C",M2)),"Oklahoma",IF(ISNUMBER(SEARCH("Harrison, J",M2)),"Oklahoma",IF(ISNUMBER(SEARCH("Orico, L",M2)),"Oklahoma",IF(ISNUMBER(SEARCH("Richardson, M",M2)),"Oklahoma",IF(ISNUMBER(SEARCH("Schmiedel, I",M2)),"Oklahoma",IF(ISNUMBER(SEARCH("Sitton, L",M2)),"Oklahoma",IF(ISNUMBER(SEARCH("Smith, C",M2)),"Oklahoma",IF(ISNUMBER(SEARCH("Wenner, T",M2)),"Oklahoma",IF(ISNUMBER(SEARCH("Wright, M",M2)),"Oklahoma",IF(ISNUMBER(SEARCH("Young, R",M2)),"Oklahoma",IF(ISNUMBER(SEARCH("Ayers, A",M2)),"Texas/La/DQ/Ark Blvd",IF(ISNUMBER(SEARCH("Ayers, R",M2)),"Texas/La/DQ/Ark Blvd",IF(ISNUMBER(SEARCH("Bailey, J",M2)),"Texas/La/DQ/Ark Blvd",IF(ISNUMBER(SEARCH("Bennett, C",M2)),"Texas/La/DQ/Ark Blvd",IF(ISNUMBER(SEARCH("Bevill, T",M2)),"Texas/La/DQ/Ark Blvd",IF(ISNUMBER(SEARCH("Bowen, A",M2)),"Texas/La/DQ/Ark Blvd",IF(ISNUMBER(SEARCH("Brandon, M",M2)),"Texas/La/DQ/Ark Blvd",IF(ISNUMBER(SEARCH("Browning, J",M2)),"Texas/La/DQ/Ark Blvd",IF(ISNUMBER(SEARCH("Butts, P",M2)),"Texas/La/DQ/Ark Blvd",IF(ISNUMBER(SEARCH("Caltrider, D",M2)),"Texas/La/DQ/Ark Blvd",IF(ISNUMBER(SEARCH("Colbert, S",M2)),"Texas/La/DQ/Ark Blvd",IF(ISNUMBER(SEARCH("Coyle, H",M2)),"Texas/La/DQ/Ark Blvd",IF(ISNUMBER(SEARCH("Crouthamel, M",M2)),"Texas/La/DQ/Ark Blvd",IF(ISNUMBER(SEARCH("Culbertson, J",M2)),"Texas/La/DQ/Ark Blvd",IF(ISNUMBER(SEARCH("Dailey, S",M2)),"Texas/La/DQ/Ark Blvd",IF(ISNUMBER(SEARCH("Donnelly, S",M2)),"Texas/La/DQ/Ark Blvd",IF(ISNUMBER(SEARCH("Foltz, S",M2)),"Texas/La/DQ/Ark Blvd",IF(ISNUMBER(SEARCH("Foltz, T",M2)),"Texas/La/DQ/Ark Blvd",IF(ISNUMBER(SEARCH("Gallegos, C",M2)),"Texas/La/DQ/Ark Blvd",IF(ISNUMBER(SEARCH("Green, K",M2)),"Texas/La/DQ/Ark Blvd",IF(ISNUMBER(SEARCH("Griffin, P",M2)),"Texas/La/DQ/Ark Blvd",IF(ISNUMBER(SEARCH("Hawthorne, R",M2)),"Texas/La/DQ/Ark Blvd",IF(ISNUMBER(SEARCH("Hickey, P",M2)),"Texas/La/DQ/Ark Blvd",IF(ISNUMBER(SEARCH("Hunter, B",M2)),"Texas/La/DQ/Ark Blvd",IF(ISNUMBER(SEARCH("Hutson, D",M2)),"Texas/La/DQ/Ark Blvd",IF(ISNUMBER(SEARCH("Johnson, B",M2)),"Texas/La/DQ/Ark Blvd",IF(ISNUMBER(SEARCH("McCann, K",M2)),"Texas/La/DQ/Ark Blvd",IF(ISNUMBER(SEARCH("Meredith, P",M2)),"Texas/La/DQ/Ark Blvd",IF(ISNUMBER(SEARCH("Mitchell, J",M2)),"Texas/La/DQ/Ark Blvd",IF(ISNUMBER(SEARCH("Pounds, T",M2)),"Texas/La/DQ/Ark Blvd",IF(ISNUMBER(SEARCH("Redden, K",M2)),"Texas/La/DQ/Ark Blvd",IF(ISNUMBER(SEARCH("Redden, M",M2)),"Texas/La/DQ/Ark Blvd",IF(ISNUMBER(SEARCH("Reynolds, S",M2)),"Texas/La/DQ/Ark Blvd",IF(ISNUMBER(SEARCH("Rolon, K",M2)),"Texas/La/DQ/Ark Blvd",IF(ISNUMBER(SEARCH("Rowe, J",M2)),"Texas/La/DQ/Ark Blvd",IF(ISNUMBER(SEARCH("Russette, R",M2)),"Texas/La/DQ/Ark Blvd",IF(ISNUMBER(SEARCH("West, S",M2)),"Texas/La/DQ/Ark Blvd",IF(ISNUMBER(SEARCH("Burch, J",M2)),"Workers Comp",IF(ISNUMBER(SEARCH("Traylor, T",M2)),"Workers Comp",IF(ISNUMBER(SEARCH("Walls, G",M2)),"Workers Comp","-"))))))))))))))))))))))))))))))))))))))))))))))))))))))))))))))</f>
        <v>Texas/La/DQ/Ark Blvd</v>
      </c>
    </row>
    <row r="3" spans="1:35" x14ac:dyDescent="0.3">
      <c r="A3" t="s">
        <v>26</v>
      </c>
      <c r="B3" t="s">
        <v>27</v>
      </c>
      <c r="C3" t="s">
        <v>28</v>
      </c>
      <c r="D3" t="s">
        <v>29</v>
      </c>
      <c r="E3" t="s">
        <v>30</v>
      </c>
      <c r="F3" t="s">
        <v>19</v>
      </c>
      <c r="G3" t="s">
        <v>31</v>
      </c>
      <c r="H3" t="s">
        <v>22</v>
      </c>
      <c r="I3" t="s">
        <v>22</v>
      </c>
      <c r="J3" t="s">
        <v>22</v>
      </c>
      <c r="K3" t="s">
        <v>31</v>
      </c>
      <c r="L3" t="s">
        <v>32</v>
      </c>
      <c r="M3" t="s">
        <v>33</v>
      </c>
      <c r="N3" t="s">
        <v>34</v>
      </c>
      <c r="O3" t="s">
        <v>846</v>
      </c>
      <c r="P3" t="str" cm="1">
        <f t="array" ref="P3">_xlfn.IFS(ISNUMBER(SEARCH("AEIC:", O3)), "Arkansas",ISNUMBER(SEARCH("STM:", O3)), "Texas",ISNUMBER(SEARCH("BILLING:", O3)), "Texas",ISNUMBER(SEARCH("AM:", O3)), "Texas",ISNUMBER(SEARCH("ARBlvd:", O3)), "Arkansas",ISNUMBER(SEARCH("Atlanta:", O3)), "Texas",ISNUMBER(SEARCH("Blanchard:", O3)), "Louisiana",ISNUMBER(SEARCH("Bryant:", O3)), "Arkansas",ISNUMBER(SEARCH("Choctaw:", O3)), "Oklahoma",ISNUMBER(SEARCH("Choc Allgy:", O3)), "Oklahoma",ISNUMBER(SEARCH("DeQueen:", O3)), "Arkansas",ISNUMBER(SEARCH("Edmond:", O3)), "Oklahoma",ISNUMBER(SEARCH("Edmd Aller:", O3)), "Oklahoma",ISNUMBER(SEARCH("Imaging:", O3)), "Texas",ISNUMBER(SEARCH("Longview:", O3)), "Texas",ISNUMBER(SEARCH("Marshall:", O3)), "Texas",ISNUMBER(SEARCH("Mar Allerg:", O3)), "Texas",ISNUMBER(SEARCH("Maumelle:", O3)), "Arkansas",ISNUMBER(SEARCH("MWC:", O3)), "Oklahoma",ISNUMBER(SEARCH("MWC Allgy:", O3)), "Oklahoma",ISNUMBER(SEARCH("Moore:", O3)), "Oklahoma",ISNUMBER(SEARCH("MooreAllgy:", O3)), "Oklahoma",ISNUMBER(SEARCH("MtPleasant:", O3)), "Texas",ISNUMBER(SEARCH("OccOffsite:", O3)), "Texas",ISNUMBER(SEARCH("Pain Mgmt:", O3)), "Texas",ISNUMBER(SEARCH("Paris:", O3)), "Texas",ISNUMBER(SEARCH("PT:", O3)), "Texas",ISNUMBER(SEARCH("RR Allergy:", O3)), "Texas",ISNUMBER(SEARCH("Sherwood:", O3)), "Arkansas",ISNUMBER(SEARCH("WV:", O3)), "Texas",ISNUMBER(SEARCH("Nur-Home:", O3)), "Texas",ISNUMBER(SEARCH("THC:", O3)), "Texas",ISNUMBER(SEARCH("WVTC:", O3)), "Texas",ISNUMBER(SEARCH("TSC:", O3)), "Texas",ISNUMBER(SEARCH("V-AR Blvd:", O3)), "Arkansas",ISNUMBER(SEARCH("V-Maumelle:", O3)), "Arkansas",ISNUMBER(SEARCH("V-Atlanta:", O3)), "Texas",ISNUMBER(SEARCH("VBlanchard:", O3)), "Louisiana",ISNUMBER(SEARCH("V-Bryant:", O3)), "Arkansas",ISNUMBER(SEARCH("V-Choctaw:", O3)), "Oklahoma",ISNUMBER(SEARCH("V-DeQueen:", O3)), "Arkansas",ISNUMBER(SEARCH("V-Longview:", O3)), "Texas",ISNUMBER(SEARCH("V-Marshall:", O3)), "Texas",ISNUMBER(SEARCH("V-MWC:", O3)), "Oklahoma",ISNUMBER(SEARCH("V-Moore:", O3)), "Oklahoma",ISNUMBER(SEARCH("V-MP:", O3)), "Texas",ISNUMBER(SEARCH("V-Edmond:", O3)), "Oklahoma",ISNUMBER(SEARCH("V-Paris:", O3)), "Texas",ISNUMBER(SEARCH("V-RR:", O3)), "Texas",ISNUMBER(SEARCH("V-Sherwood:", O3)), "Arkansas",ISNUMBER(SEARCH("V-WV:", O3)), "Texas",ISNUMBER(SEARCH("HealthCARE Express - Richmond Road", O3)), "Texas",ISNUMBER(SEARCH("HealthCARE Express - Occupational Medicine", O3)), "Texas")</f>
        <v>Texas</v>
      </c>
      <c r="Q3" t="s">
        <v>841</v>
      </c>
      <c r="R3" t="s">
        <v>847</v>
      </c>
      <c r="S3" t="s">
        <v>30</v>
      </c>
      <c r="T3" t="s">
        <v>848</v>
      </c>
      <c r="U3" t="s">
        <v>843</v>
      </c>
      <c r="V3" t="s">
        <v>849</v>
      </c>
      <c r="W3" t="s">
        <v>850</v>
      </c>
      <c r="X3" t="s">
        <v>851</v>
      </c>
      <c r="Y3" t="s">
        <v>852</v>
      </c>
      <c r="Z3" t="s">
        <v>853</v>
      </c>
      <c r="AA3" t="s">
        <v>854</v>
      </c>
      <c r="AF3" t="str" cm="1">
        <f t="array" ref="AF3">IF(SUMPRODUCT(--ISNUMBER(SEARCH("992",T3:AE3)))&gt;0, "E&amp;M", "No E&amp;M")</f>
        <v>E&amp;M</v>
      </c>
      <c r="AG3" t="str">
        <f t="shared" ref="AG3:AG66" si="3">IFERROR(MID(T3,SEARCH("992",T3),5), IFERROR(MID(U3,SEARCH("992",U3),5), IFERROR(MID(V3,SEARCH("992",V3),5), IFERROR(MID(W3,SEARCH("992",W3),5), IFERROR(MID(X3,SEARCH("992",X3),5), IFERROR(MID(Y3,SEARCH("992",Y3),5), IFERROR(MID(Z3,SEARCH("992",Z3),5), IFERROR(MID(AA3,SEARCH("992",AA3),5), IFERROR(MID(AB3,SEARCH("992",AB3),5), IFERROR(MID(AC3,SEARCH("992",AC3),5), IFERROR(MID(AD3,SEARCH("992",AD3),5), IFERROR(MID(AE3,SEARCH("992",AE3),5), "No E&amp;M"))))))))))))</f>
        <v>99214</v>
      </c>
      <c r="AH3" t="str">
        <f t="shared" ref="AH3:AH66" si="4">IF(ISNUMBER(SEARCH("9920", AG3)), "New Patient", IF(ISNUMBER(SEARCH("9921", AG3)), "Estd. Patient", IF(ISNUMBER(SEARCH("No E&amp;M", AG3)), "No E&amp;M", "")))</f>
        <v>Estd. Patient</v>
      </c>
      <c r="AI3" t="str">
        <f t="shared" si="2"/>
        <v>Texas/La/DQ/Ark Blvd</v>
      </c>
    </row>
    <row r="4" spans="1:35" x14ac:dyDescent="0.3">
      <c r="A4" t="s">
        <v>35</v>
      </c>
      <c r="B4" t="s">
        <v>36</v>
      </c>
      <c r="C4" t="s">
        <v>37</v>
      </c>
      <c r="D4" t="s">
        <v>38</v>
      </c>
      <c r="E4" t="s">
        <v>39</v>
      </c>
      <c r="F4" t="s">
        <v>19</v>
      </c>
      <c r="G4" t="s">
        <v>40</v>
      </c>
      <c r="H4" t="s">
        <v>22</v>
      </c>
      <c r="I4" t="s">
        <v>22</v>
      </c>
      <c r="J4" t="s">
        <v>22</v>
      </c>
      <c r="K4" t="s">
        <v>40</v>
      </c>
      <c r="L4" t="s">
        <v>41</v>
      </c>
      <c r="M4" t="s">
        <v>42</v>
      </c>
      <c r="N4" t="s">
        <v>43</v>
      </c>
      <c r="O4" t="s">
        <v>855</v>
      </c>
      <c r="P4" t="str" cm="1">
        <f t="array" ref="P4">_xlfn.IFS(ISNUMBER(SEARCH("AEIC:", O4)), "Arkansas",ISNUMBER(SEARCH("STM:", O4)), "Texas",ISNUMBER(SEARCH("BILLING:", O4)), "Texas",ISNUMBER(SEARCH("AM:", O4)), "Texas",ISNUMBER(SEARCH("ARBlvd:", O4)), "Arkansas",ISNUMBER(SEARCH("Atlanta:", O4)), "Texas",ISNUMBER(SEARCH("Blanchard:", O4)), "Louisiana",ISNUMBER(SEARCH("Bryant:", O4)), "Arkansas",ISNUMBER(SEARCH("Choctaw:", O4)), "Oklahoma",ISNUMBER(SEARCH("Choc Allgy:", O4)), "Oklahoma",ISNUMBER(SEARCH("DeQueen:", O4)), "Arkansas",ISNUMBER(SEARCH("Edmond:", O4)), "Oklahoma",ISNUMBER(SEARCH("Edmd Aller:", O4)), "Oklahoma",ISNUMBER(SEARCH("Imaging:", O4)), "Texas",ISNUMBER(SEARCH("Longview:", O4)), "Texas",ISNUMBER(SEARCH("Marshall:", O4)), "Texas",ISNUMBER(SEARCH("Mar Allerg:", O4)), "Texas",ISNUMBER(SEARCH("Maumelle:", O4)), "Arkansas",ISNUMBER(SEARCH("MWC:", O4)), "Oklahoma",ISNUMBER(SEARCH("MWC Allgy:", O4)), "Oklahoma",ISNUMBER(SEARCH("Moore:", O4)), "Oklahoma",ISNUMBER(SEARCH("MooreAllgy:", O4)), "Oklahoma",ISNUMBER(SEARCH("MtPleasant:", O4)), "Texas",ISNUMBER(SEARCH("OccOffsite:", O4)), "Texas",ISNUMBER(SEARCH("Pain Mgmt:", O4)), "Texas",ISNUMBER(SEARCH("Paris:", O4)), "Texas",ISNUMBER(SEARCH("PT:", O4)), "Texas",ISNUMBER(SEARCH("RR Allergy:", O4)), "Texas",ISNUMBER(SEARCH("Sherwood:", O4)), "Arkansas",ISNUMBER(SEARCH("WV:", O4)), "Texas",ISNUMBER(SEARCH("Nur-Home:", O4)), "Texas",ISNUMBER(SEARCH("THC:", O4)), "Texas",ISNUMBER(SEARCH("WVTC:", O4)), "Texas",ISNUMBER(SEARCH("TSC:", O4)), "Texas",ISNUMBER(SEARCH("V-AR Blvd:", O4)), "Arkansas",ISNUMBER(SEARCH("V-Maumelle:", O4)), "Arkansas",ISNUMBER(SEARCH("V-Atlanta:", O4)), "Texas",ISNUMBER(SEARCH("VBlanchard:", O4)), "Louisiana",ISNUMBER(SEARCH("V-Bryant:", O4)), "Arkansas",ISNUMBER(SEARCH("V-Choctaw:", O4)), "Oklahoma",ISNUMBER(SEARCH("V-DeQueen:", O4)), "Arkansas",ISNUMBER(SEARCH("V-Longview:", O4)), "Texas",ISNUMBER(SEARCH("V-Marshall:", O4)), "Texas",ISNUMBER(SEARCH("V-MWC:", O4)), "Oklahoma",ISNUMBER(SEARCH("V-Moore:", O4)), "Oklahoma",ISNUMBER(SEARCH("V-MP:", O4)), "Texas",ISNUMBER(SEARCH("V-Edmond:", O4)), "Oklahoma",ISNUMBER(SEARCH("V-Paris:", O4)), "Texas",ISNUMBER(SEARCH("V-RR:", O4)), "Texas",ISNUMBER(SEARCH("V-Sherwood:", O4)), "Arkansas",ISNUMBER(SEARCH("V-WV:", O4)), "Texas",ISNUMBER(SEARCH("HealthCARE Express - Richmond Road", O4)), "Texas",ISNUMBER(SEARCH("HealthCARE Express - Occupational Medicine", O4)), "Texas")</f>
        <v>Texas</v>
      </c>
      <c r="Q4" t="s">
        <v>841</v>
      </c>
      <c r="R4" t="s">
        <v>856</v>
      </c>
      <c r="S4" t="s">
        <v>39</v>
      </c>
      <c r="T4" t="s">
        <v>849</v>
      </c>
      <c r="AF4" t="str" cm="1">
        <f t="array" ref="AF4">IF(SUMPRODUCT(--ISNUMBER(SEARCH("992",T4:AE4)))&gt;0, "E&amp;M", "No E&amp;M")</f>
        <v>No E&amp;M</v>
      </c>
      <c r="AG4" t="str">
        <f t="shared" si="3"/>
        <v>No E&amp;M</v>
      </c>
      <c r="AH4" t="str">
        <f t="shared" si="4"/>
        <v>No E&amp;M</v>
      </c>
      <c r="AI4" t="str">
        <f t="shared" si="2"/>
        <v>Texas/La/DQ/Ark Blvd</v>
      </c>
    </row>
    <row r="5" spans="1:35" x14ac:dyDescent="0.3">
      <c r="A5" t="s">
        <v>44</v>
      </c>
      <c r="B5" t="s">
        <v>36</v>
      </c>
      <c r="C5" t="s">
        <v>37</v>
      </c>
      <c r="D5" t="s">
        <v>45</v>
      </c>
      <c r="E5" t="s">
        <v>39</v>
      </c>
      <c r="F5" t="s">
        <v>19</v>
      </c>
      <c r="G5" t="s">
        <v>46</v>
      </c>
      <c r="H5" t="s">
        <v>47</v>
      </c>
      <c r="I5" t="s">
        <v>22</v>
      </c>
      <c r="J5" t="s">
        <v>22</v>
      </c>
      <c r="K5" t="s">
        <v>48</v>
      </c>
      <c r="L5" t="s">
        <v>49</v>
      </c>
      <c r="M5" t="s">
        <v>42</v>
      </c>
      <c r="N5" t="s">
        <v>50</v>
      </c>
      <c r="O5" t="s">
        <v>855</v>
      </c>
      <c r="P5" t="str" cm="1">
        <f t="array" ref="P5">_xlfn.IFS(ISNUMBER(SEARCH("AEIC:", O5)), "Arkansas",ISNUMBER(SEARCH("STM:", O5)), "Texas",ISNUMBER(SEARCH("BILLING:", O5)), "Texas",ISNUMBER(SEARCH("AM:", O5)), "Texas",ISNUMBER(SEARCH("ARBlvd:", O5)), "Arkansas",ISNUMBER(SEARCH("Atlanta:", O5)), "Texas",ISNUMBER(SEARCH("Blanchard:", O5)), "Louisiana",ISNUMBER(SEARCH("Bryant:", O5)), "Arkansas",ISNUMBER(SEARCH("Choctaw:", O5)), "Oklahoma",ISNUMBER(SEARCH("Choc Allgy:", O5)), "Oklahoma",ISNUMBER(SEARCH("DeQueen:", O5)), "Arkansas",ISNUMBER(SEARCH("Edmond:", O5)), "Oklahoma",ISNUMBER(SEARCH("Edmd Aller:", O5)), "Oklahoma",ISNUMBER(SEARCH("Imaging:", O5)), "Texas",ISNUMBER(SEARCH("Longview:", O5)), "Texas",ISNUMBER(SEARCH("Marshall:", O5)), "Texas",ISNUMBER(SEARCH("Mar Allerg:", O5)), "Texas",ISNUMBER(SEARCH("Maumelle:", O5)), "Arkansas",ISNUMBER(SEARCH("MWC:", O5)), "Oklahoma",ISNUMBER(SEARCH("MWC Allgy:", O5)), "Oklahoma",ISNUMBER(SEARCH("Moore:", O5)), "Oklahoma",ISNUMBER(SEARCH("MooreAllgy:", O5)), "Oklahoma",ISNUMBER(SEARCH("MtPleasant:", O5)), "Texas",ISNUMBER(SEARCH("OccOffsite:", O5)), "Texas",ISNUMBER(SEARCH("Pain Mgmt:", O5)), "Texas",ISNUMBER(SEARCH("Paris:", O5)), "Texas",ISNUMBER(SEARCH("PT:", O5)), "Texas",ISNUMBER(SEARCH("RR Allergy:", O5)), "Texas",ISNUMBER(SEARCH("Sherwood:", O5)), "Arkansas",ISNUMBER(SEARCH("WV:", O5)), "Texas",ISNUMBER(SEARCH("Nur-Home:", O5)), "Texas",ISNUMBER(SEARCH("THC:", O5)), "Texas",ISNUMBER(SEARCH("WVTC:", O5)), "Texas",ISNUMBER(SEARCH("TSC:", O5)), "Texas",ISNUMBER(SEARCH("V-AR Blvd:", O5)), "Arkansas",ISNUMBER(SEARCH("V-Maumelle:", O5)), "Arkansas",ISNUMBER(SEARCH("V-Atlanta:", O5)), "Texas",ISNUMBER(SEARCH("VBlanchard:", O5)), "Louisiana",ISNUMBER(SEARCH("V-Bryant:", O5)), "Arkansas",ISNUMBER(SEARCH("V-Choctaw:", O5)), "Oklahoma",ISNUMBER(SEARCH("V-DeQueen:", O5)), "Arkansas",ISNUMBER(SEARCH("V-Longview:", O5)), "Texas",ISNUMBER(SEARCH("V-Marshall:", O5)), "Texas",ISNUMBER(SEARCH("V-MWC:", O5)), "Oklahoma",ISNUMBER(SEARCH("V-Moore:", O5)), "Oklahoma",ISNUMBER(SEARCH("V-MP:", O5)), "Texas",ISNUMBER(SEARCH("V-Edmond:", O5)), "Oklahoma",ISNUMBER(SEARCH("V-Paris:", O5)), "Texas",ISNUMBER(SEARCH("V-RR:", O5)), "Texas",ISNUMBER(SEARCH("V-Sherwood:", O5)), "Arkansas",ISNUMBER(SEARCH("V-WV:", O5)), "Texas",ISNUMBER(SEARCH("HealthCARE Express - Richmond Road", O5)), "Texas",ISNUMBER(SEARCH("HealthCARE Express - Occupational Medicine", O5)), "Texas")</f>
        <v>Texas</v>
      </c>
      <c r="Q5" t="s">
        <v>841</v>
      </c>
      <c r="R5" t="s">
        <v>856</v>
      </c>
      <c r="S5" t="s">
        <v>39</v>
      </c>
      <c r="T5" t="s">
        <v>857</v>
      </c>
      <c r="AF5" t="str" cm="1">
        <f t="array" ref="AF5">IF(SUMPRODUCT(--ISNUMBER(SEARCH("992",T5:AE5)))&gt;0, "E&amp;M", "No E&amp;M")</f>
        <v>E&amp;M</v>
      </c>
      <c r="AG5" t="str">
        <f t="shared" si="3"/>
        <v>99204</v>
      </c>
      <c r="AH5" t="str">
        <f t="shared" si="4"/>
        <v>New Patient</v>
      </c>
      <c r="AI5" t="str">
        <f t="shared" si="2"/>
        <v>Texas/La/DQ/Ark Blvd</v>
      </c>
    </row>
    <row r="6" spans="1:35" x14ac:dyDescent="0.3">
      <c r="A6" t="s">
        <v>51</v>
      </c>
      <c r="B6" t="s">
        <v>52</v>
      </c>
      <c r="C6" t="s">
        <v>53</v>
      </c>
      <c r="D6" t="s">
        <v>54</v>
      </c>
      <c r="E6" t="s">
        <v>30</v>
      </c>
      <c r="F6" t="s">
        <v>19</v>
      </c>
      <c r="G6" t="s">
        <v>55</v>
      </c>
      <c r="H6" t="s">
        <v>22</v>
      </c>
      <c r="I6" t="s">
        <v>22</v>
      </c>
      <c r="J6" t="s">
        <v>22</v>
      </c>
      <c r="K6" t="s">
        <v>55</v>
      </c>
      <c r="L6" t="s">
        <v>56</v>
      </c>
      <c r="M6" t="s">
        <v>57</v>
      </c>
      <c r="N6" t="s">
        <v>54</v>
      </c>
      <c r="O6" t="s">
        <v>858</v>
      </c>
      <c r="P6" t="str" cm="1">
        <f t="array" ref="P6">_xlfn.IFS(ISNUMBER(SEARCH("AEIC:", O6)), "Arkansas",ISNUMBER(SEARCH("STM:", O6)), "Texas",ISNUMBER(SEARCH("BILLING:", O6)), "Texas",ISNUMBER(SEARCH("AM:", O6)), "Texas",ISNUMBER(SEARCH("ARBlvd:", O6)), "Arkansas",ISNUMBER(SEARCH("Atlanta:", O6)), "Texas",ISNUMBER(SEARCH("Blanchard:", O6)), "Louisiana",ISNUMBER(SEARCH("Bryant:", O6)), "Arkansas",ISNUMBER(SEARCH("Choctaw:", O6)), "Oklahoma",ISNUMBER(SEARCH("Choc Allgy:", O6)), "Oklahoma",ISNUMBER(SEARCH("DeQueen:", O6)), "Arkansas",ISNUMBER(SEARCH("Edmond:", O6)), "Oklahoma",ISNUMBER(SEARCH("Edmd Aller:", O6)), "Oklahoma",ISNUMBER(SEARCH("Imaging:", O6)), "Texas",ISNUMBER(SEARCH("Longview:", O6)), "Texas",ISNUMBER(SEARCH("Marshall:", O6)), "Texas",ISNUMBER(SEARCH("Mar Allerg:", O6)), "Texas",ISNUMBER(SEARCH("Maumelle:", O6)), "Arkansas",ISNUMBER(SEARCH("MWC:", O6)), "Oklahoma",ISNUMBER(SEARCH("MWC Allgy:", O6)), "Oklahoma",ISNUMBER(SEARCH("Moore:", O6)), "Oklahoma",ISNUMBER(SEARCH("MooreAllgy:", O6)), "Oklahoma",ISNUMBER(SEARCH("MtPleasant:", O6)), "Texas",ISNUMBER(SEARCH("OccOffsite:", O6)), "Texas",ISNUMBER(SEARCH("Pain Mgmt:", O6)), "Texas",ISNUMBER(SEARCH("Paris:", O6)), "Texas",ISNUMBER(SEARCH("PT:", O6)), "Texas",ISNUMBER(SEARCH("RR Allergy:", O6)), "Texas",ISNUMBER(SEARCH("Sherwood:", O6)), "Arkansas",ISNUMBER(SEARCH("WV:", O6)), "Texas",ISNUMBER(SEARCH("Nur-Home:", O6)), "Texas",ISNUMBER(SEARCH("THC:", O6)), "Texas",ISNUMBER(SEARCH("WVTC:", O6)), "Texas",ISNUMBER(SEARCH("TSC:", O6)), "Texas",ISNUMBER(SEARCH("V-AR Blvd:", O6)), "Arkansas",ISNUMBER(SEARCH("V-Maumelle:", O6)), "Arkansas",ISNUMBER(SEARCH("V-Atlanta:", O6)), "Texas",ISNUMBER(SEARCH("VBlanchard:", O6)), "Louisiana",ISNUMBER(SEARCH("V-Bryant:", O6)), "Arkansas",ISNUMBER(SEARCH("V-Choctaw:", O6)), "Oklahoma",ISNUMBER(SEARCH("V-DeQueen:", O6)), "Arkansas",ISNUMBER(SEARCH("V-Longview:", O6)), "Texas",ISNUMBER(SEARCH("V-Marshall:", O6)), "Texas",ISNUMBER(SEARCH("V-MWC:", O6)), "Oklahoma",ISNUMBER(SEARCH("V-Moore:", O6)), "Oklahoma",ISNUMBER(SEARCH("V-MP:", O6)), "Texas",ISNUMBER(SEARCH("V-Edmond:", O6)), "Oklahoma",ISNUMBER(SEARCH("V-Paris:", O6)), "Texas",ISNUMBER(SEARCH("V-RR:", O6)), "Texas",ISNUMBER(SEARCH("V-Sherwood:", O6)), "Arkansas",ISNUMBER(SEARCH("V-WV:", O6)), "Texas",ISNUMBER(SEARCH("HealthCARE Express - Richmond Road", O6)), "Texas",ISNUMBER(SEARCH("HealthCARE Express - Occupational Medicine", O6)), "Texas")</f>
        <v>Texas</v>
      </c>
      <c r="Q6" t="s">
        <v>841</v>
      </c>
      <c r="R6" t="s">
        <v>847</v>
      </c>
      <c r="S6" t="s">
        <v>30</v>
      </c>
      <c r="T6" t="s">
        <v>848</v>
      </c>
      <c r="U6" t="s">
        <v>859</v>
      </c>
      <c r="V6" t="s">
        <v>860</v>
      </c>
      <c r="W6" t="s">
        <v>844</v>
      </c>
      <c r="X6" t="s">
        <v>861</v>
      </c>
      <c r="Y6" t="s">
        <v>862</v>
      </c>
      <c r="Z6" t="s">
        <v>863</v>
      </c>
      <c r="AA6" t="s">
        <v>864</v>
      </c>
      <c r="AB6" t="s">
        <v>865</v>
      </c>
      <c r="AC6" t="s">
        <v>866</v>
      </c>
      <c r="AD6" t="s">
        <v>867</v>
      </c>
      <c r="AF6" t="str" cm="1">
        <f t="array" ref="AF6">IF(SUMPRODUCT(--ISNUMBER(SEARCH("992",T6:AE6)))&gt;0, "E&amp;M", "No E&amp;M")</f>
        <v>E&amp;M</v>
      </c>
      <c r="AG6" t="str">
        <f t="shared" si="3"/>
        <v>99214</v>
      </c>
      <c r="AH6" t="str">
        <f t="shared" si="4"/>
        <v>Estd. Patient</v>
      </c>
      <c r="AI6" t="str">
        <f t="shared" si="2"/>
        <v>Texas/La/DQ/Ark Blvd</v>
      </c>
    </row>
    <row r="7" spans="1:35" x14ac:dyDescent="0.3">
      <c r="A7" t="s">
        <v>58</v>
      </c>
      <c r="B7" t="s">
        <v>52</v>
      </c>
      <c r="C7" t="s">
        <v>53</v>
      </c>
      <c r="D7" t="s">
        <v>59</v>
      </c>
      <c r="E7" t="s">
        <v>60</v>
      </c>
      <c r="F7" t="s">
        <v>19</v>
      </c>
      <c r="G7" t="s">
        <v>61</v>
      </c>
      <c r="H7" t="s">
        <v>62</v>
      </c>
      <c r="I7" t="s">
        <v>22</v>
      </c>
      <c r="J7" t="s">
        <v>22</v>
      </c>
      <c r="K7" t="s">
        <v>63</v>
      </c>
      <c r="L7" t="s">
        <v>64</v>
      </c>
      <c r="M7" t="s">
        <v>57</v>
      </c>
      <c r="N7" t="s">
        <v>65</v>
      </c>
      <c r="O7" t="s">
        <v>858</v>
      </c>
      <c r="P7" t="str" cm="1">
        <f t="array" ref="P7">_xlfn.IFS(ISNUMBER(SEARCH("AEIC:", O7)), "Arkansas",ISNUMBER(SEARCH("STM:", O7)), "Texas",ISNUMBER(SEARCH("BILLING:", O7)), "Texas",ISNUMBER(SEARCH("AM:", O7)), "Texas",ISNUMBER(SEARCH("ARBlvd:", O7)), "Arkansas",ISNUMBER(SEARCH("Atlanta:", O7)), "Texas",ISNUMBER(SEARCH("Blanchard:", O7)), "Louisiana",ISNUMBER(SEARCH("Bryant:", O7)), "Arkansas",ISNUMBER(SEARCH("Choctaw:", O7)), "Oklahoma",ISNUMBER(SEARCH("Choc Allgy:", O7)), "Oklahoma",ISNUMBER(SEARCH("DeQueen:", O7)), "Arkansas",ISNUMBER(SEARCH("Edmond:", O7)), "Oklahoma",ISNUMBER(SEARCH("Edmd Aller:", O7)), "Oklahoma",ISNUMBER(SEARCH("Imaging:", O7)), "Texas",ISNUMBER(SEARCH("Longview:", O7)), "Texas",ISNUMBER(SEARCH("Marshall:", O7)), "Texas",ISNUMBER(SEARCH("Mar Allerg:", O7)), "Texas",ISNUMBER(SEARCH("Maumelle:", O7)), "Arkansas",ISNUMBER(SEARCH("MWC:", O7)), "Oklahoma",ISNUMBER(SEARCH("MWC Allgy:", O7)), "Oklahoma",ISNUMBER(SEARCH("Moore:", O7)), "Oklahoma",ISNUMBER(SEARCH("MooreAllgy:", O7)), "Oklahoma",ISNUMBER(SEARCH("MtPleasant:", O7)), "Texas",ISNUMBER(SEARCH("OccOffsite:", O7)), "Texas",ISNUMBER(SEARCH("Pain Mgmt:", O7)), "Texas",ISNUMBER(SEARCH("Paris:", O7)), "Texas",ISNUMBER(SEARCH("PT:", O7)), "Texas",ISNUMBER(SEARCH("RR Allergy:", O7)), "Texas",ISNUMBER(SEARCH("Sherwood:", O7)), "Arkansas",ISNUMBER(SEARCH("WV:", O7)), "Texas",ISNUMBER(SEARCH("Nur-Home:", O7)), "Texas",ISNUMBER(SEARCH("THC:", O7)), "Texas",ISNUMBER(SEARCH("WVTC:", O7)), "Texas",ISNUMBER(SEARCH("TSC:", O7)), "Texas",ISNUMBER(SEARCH("V-AR Blvd:", O7)), "Arkansas",ISNUMBER(SEARCH("V-Maumelle:", O7)), "Arkansas",ISNUMBER(SEARCH("V-Atlanta:", O7)), "Texas",ISNUMBER(SEARCH("VBlanchard:", O7)), "Louisiana",ISNUMBER(SEARCH("V-Bryant:", O7)), "Arkansas",ISNUMBER(SEARCH("V-Choctaw:", O7)), "Oklahoma",ISNUMBER(SEARCH("V-DeQueen:", O7)), "Arkansas",ISNUMBER(SEARCH("V-Longview:", O7)), "Texas",ISNUMBER(SEARCH("V-Marshall:", O7)), "Texas",ISNUMBER(SEARCH("V-MWC:", O7)), "Oklahoma",ISNUMBER(SEARCH("V-Moore:", O7)), "Oklahoma",ISNUMBER(SEARCH("V-MP:", O7)), "Texas",ISNUMBER(SEARCH("V-Edmond:", O7)), "Oklahoma",ISNUMBER(SEARCH("V-Paris:", O7)), "Texas",ISNUMBER(SEARCH("V-RR:", O7)), "Texas",ISNUMBER(SEARCH("V-Sherwood:", O7)), "Arkansas",ISNUMBER(SEARCH("V-WV:", O7)), "Texas",ISNUMBER(SEARCH("HealthCARE Express - Richmond Road", O7)), "Texas",ISNUMBER(SEARCH("HealthCARE Express - Occupational Medicine", O7)), "Texas")</f>
        <v>Texas</v>
      </c>
      <c r="Q7" t="s">
        <v>869</v>
      </c>
      <c r="R7" t="s">
        <v>868</v>
      </c>
      <c r="S7" t="s">
        <v>60</v>
      </c>
      <c r="T7" t="s">
        <v>848</v>
      </c>
      <c r="U7" t="s">
        <v>861</v>
      </c>
      <c r="V7" t="s">
        <v>863</v>
      </c>
      <c r="W7" t="s">
        <v>870</v>
      </c>
      <c r="X7" t="s">
        <v>865</v>
      </c>
      <c r="Y7" t="s">
        <v>867</v>
      </c>
      <c r="AF7" t="str" cm="1">
        <f t="array" ref="AF7">IF(SUMPRODUCT(--ISNUMBER(SEARCH("992",T7:AE7)))&gt;0, "E&amp;M", "No E&amp;M")</f>
        <v>E&amp;M</v>
      </c>
      <c r="AG7" t="str">
        <f t="shared" si="3"/>
        <v>99214</v>
      </c>
      <c r="AH7" t="str">
        <f t="shared" si="4"/>
        <v>Estd. Patient</v>
      </c>
      <c r="AI7" t="str">
        <f t="shared" si="2"/>
        <v>Texas/La/DQ/Ark Blvd</v>
      </c>
    </row>
    <row r="8" spans="1:35" x14ac:dyDescent="0.3">
      <c r="A8" t="s">
        <v>66</v>
      </c>
      <c r="B8" t="s">
        <v>67</v>
      </c>
      <c r="C8" t="s">
        <v>68</v>
      </c>
      <c r="D8" t="s">
        <v>69</v>
      </c>
      <c r="E8" t="s">
        <v>70</v>
      </c>
      <c r="F8" t="s">
        <v>19</v>
      </c>
      <c r="G8" t="s">
        <v>71</v>
      </c>
      <c r="H8" t="s">
        <v>22</v>
      </c>
      <c r="I8" t="s">
        <v>22</v>
      </c>
      <c r="J8" t="s">
        <v>22</v>
      </c>
      <c r="K8" t="s">
        <v>71</v>
      </c>
      <c r="L8" t="s">
        <v>72</v>
      </c>
      <c r="M8" t="s">
        <v>73</v>
      </c>
      <c r="N8" t="s">
        <v>69</v>
      </c>
      <c r="O8" t="s">
        <v>871</v>
      </c>
      <c r="P8" t="str" cm="1">
        <f t="array" ref="P8">_xlfn.IFS(ISNUMBER(SEARCH("AEIC:", O8)), "Arkansas",ISNUMBER(SEARCH("STM:", O8)), "Texas",ISNUMBER(SEARCH("BILLING:", O8)), "Texas",ISNUMBER(SEARCH("AM:", O8)), "Texas",ISNUMBER(SEARCH("ARBlvd:", O8)), "Arkansas",ISNUMBER(SEARCH("Atlanta:", O8)), "Texas",ISNUMBER(SEARCH("Blanchard:", O8)), "Louisiana",ISNUMBER(SEARCH("Bryant:", O8)), "Arkansas",ISNUMBER(SEARCH("Choctaw:", O8)), "Oklahoma",ISNUMBER(SEARCH("Choc Allgy:", O8)), "Oklahoma",ISNUMBER(SEARCH("DeQueen:", O8)), "Arkansas",ISNUMBER(SEARCH("Edmond:", O8)), "Oklahoma",ISNUMBER(SEARCH("Edmd Aller:", O8)), "Oklahoma",ISNUMBER(SEARCH("Imaging:", O8)), "Texas",ISNUMBER(SEARCH("Longview:", O8)), "Texas",ISNUMBER(SEARCH("Marshall:", O8)), "Texas",ISNUMBER(SEARCH("Mar Allerg:", O8)), "Texas",ISNUMBER(SEARCH("Maumelle:", O8)), "Arkansas",ISNUMBER(SEARCH("MWC:", O8)), "Oklahoma",ISNUMBER(SEARCH("MWC Allgy:", O8)), "Oklahoma",ISNUMBER(SEARCH("Moore:", O8)), "Oklahoma",ISNUMBER(SEARCH("MooreAllgy:", O8)), "Oklahoma",ISNUMBER(SEARCH("MtPleasant:", O8)), "Texas",ISNUMBER(SEARCH("OccOffsite:", O8)), "Texas",ISNUMBER(SEARCH("Pain Mgmt:", O8)), "Texas",ISNUMBER(SEARCH("Paris:", O8)), "Texas",ISNUMBER(SEARCH("PT:", O8)), "Texas",ISNUMBER(SEARCH("RR Allergy:", O8)), "Texas",ISNUMBER(SEARCH("Sherwood:", O8)), "Arkansas",ISNUMBER(SEARCH("WV:", O8)), "Texas",ISNUMBER(SEARCH("Nur-Home:", O8)), "Texas",ISNUMBER(SEARCH("THC:", O8)), "Texas",ISNUMBER(SEARCH("WVTC:", O8)), "Texas",ISNUMBER(SEARCH("TSC:", O8)), "Texas",ISNUMBER(SEARCH("V-AR Blvd:", O8)), "Arkansas",ISNUMBER(SEARCH("V-Maumelle:", O8)), "Arkansas",ISNUMBER(SEARCH("V-Atlanta:", O8)), "Texas",ISNUMBER(SEARCH("VBlanchard:", O8)), "Louisiana",ISNUMBER(SEARCH("V-Bryant:", O8)), "Arkansas",ISNUMBER(SEARCH("V-Choctaw:", O8)), "Oklahoma",ISNUMBER(SEARCH("V-DeQueen:", O8)), "Arkansas",ISNUMBER(SEARCH("V-Longview:", O8)), "Texas",ISNUMBER(SEARCH("V-Marshall:", O8)), "Texas",ISNUMBER(SEARCH("V-MWC:", O8)), "Oklahoma",ISNUMBER(SEARCH("V-Moore:", O8)), "Oklahoma",ISNUMBER(SEARCH("V-MP:", O8)), "Texas",ISNUMBER(SEARCH("V-Edmond:", O8)), "Oklahoma",ISNUMBER(SEARCH("V-Paris:", O8)), "Texas",ISNUMBER(SEARCH("V-RR:", O8)), "Texas",ISNUMBER(SEARCH("V-Sherwood:", O8)), "Arkansas",ISNUMBER(SEARCH("V-WV:", O8)), "Texas",ISNUMBER(SEARCH("HealthCARE Express - Richmond Road", O8)), "Texas",ISNUMBER(SEARCH("HealthCARE Express - Occupational Medicine", O8)), "Texas")</f>
        <v>Oklahoma</v>
      </c>
      <c r="Q8" t="s">
        <v>841</v>
      </c>
      <c r="R8" t="s">
        <v>872</v>
      </c>
      <c r="S8" t="s">
        <v>70</v>
      </c>
      <c r="T8" t="s">
        <v>848</v>
      </c>
      <c r="U8" t="s">
        <v>843</v>
      </c>
      <c r="V8" t="s">
        <v>873</v>
      </c>
      <c r="AF8" t="str" cm="1">
        <f t="array" ref="AF8">IF(SUMPRODUCT(--ISNUMBER(SEARCH("992",T8:AE8)))&gt;0, "E&amp;M", "No E&amp;M")</f>
        <v>E&amp;M</v>
      </c>
      <c r="AG8" t="str">
        <f t="shared" si="3"/>
        <v>99214</v>
      </c>
      <c r="AH8" t="str">
        <f t="shared" si="4"/>
        <v>Estd. Patient</v>
      </c>
      <c r="AI8" t="str">
        <f t="shared" si="2"/>
        <v>-</v>
      </c>
    </row>
    <row r="9" spans="1:35" x14ac:dyDescent="0.3">
      <c r="A9" t="s">
        <v>74</v>
      </c>
      <c r="B9" t="s">
        <v>67</v>
      </c>
      <c r="C9" t="s">
        <v>75</v>
      </c>
      <c r="D9" t="s">
        <v>76</v>
      </c>
      <c r="E9" t="s">
        <v>77</v>
      </c>
      <c r="F9" t="s">
        <v>19</v>
      </c>
      <c r="G9" t="s">
        <v>78</v>
      </c>
      <c r="H9" t="s">
        <v>79</v>
      </c>
      <c r="I9" t="s">
        <v>22</v>
      </c>
      <c r="J9" t="s">
        <v>22</v>
      </c>
      <c r="K9" t="s">
        <v>80</v>
      </c>
      <c r="L9" t="s">
        <v>81</v>
      </c>
      <c r="M9" t="s">
        <v>82</v>
      </c>
      <c r="N9" t="s">
        <v>76</v>
      </c>
      <c r="O9" t="s">
        <v>874</v>
      </c>
      <c r="P9" t="str" cm="1">
        <f t="array" ref="P9">_xlfn.IFS(ISNUMBER(SEARCH("AEIC:", O9)), "Arkansas",ISNUMBER(SEARCH("STM:", O9)), "Texas",ISNUMBER(SEARCH("BILLING:", O9)), "Texas",ISNUMBER(SEARCH("AM:", O9)), "Texas",ISNUMBER(SEARCH("ARBlvd:", O9)), "Arkansas",ISNUMBER(SEARCH("Atlanta:", O9)), "Texas",ISNUMBER(SEARCH("Blanchard:", O9)), "Louisiana",ISNUMBER(SEARCH("Bryant:", O9)), "Arkansas",ISNUMBER(SEARCH("Choctaw:", O9)), "Oklahoma",ISNUMBER(SEARCH("Choc Allgy:", O9)), "Oklahoma",ISNUMBER(SEARCH("DeQueen:", O9)), "Arkansas",ISNUMBER(SEARCH("Edmond:", O9)), "Oklahoma",ISNUMBER(SEARCH("Edmd Aller:", O9)), "Oklahoma",ISNUMBER(SEARCH("Imaging:", O9)), "Texas",ISNUMBER(SEARCH("Longview:", O9)), "Texas",ISNUMBER(SEARCH("Marshall:", O9)), "Texas",ISNUMBER(SEARCH("Mar Allerg:", O9)), "Texas",ISNUMBER(SEARCH("Maumelle:", O9)), "Arkansas",ISNUMBER(SEARCH("MWC:", O9)), "Oklahoma",ISNUMBER(SEARCH("MWC Allgy:", O9)), "Oklahoma",ISNUMBER(SEARCH("Moore:", O9)), "Oklahoma",ISNUMBER(SEARCH("MooreAllgy:", O9)), "Oklahoma",ISNUMBER(SEARCH("MtPleasant:", O9)), "Texas",ISNUMBER(SEARCH("OccOffsite:", O9)), "Texas",ISNUMBER(SEARCH("Pain Mgmt:", O9)), "Texas",ISNUMBER(SEARCH("Paris:", O9)), "Texas",ISNUMBER(SEARCH("PT:", O9)), "Texas",ISNUMBER(SEARCH("RR Allergy:", O9)), "Texas",ISNUMBER(SEARCH("Sherwood:", O9)), "Arkansas",ISNUMBER(SEARCH("WV:", O9)), "Texas",ISNUMBER(SEARCH("Nur-Home:", O9)), "Texas",ISNUMBER(SEARCH("THC:", O9)), "Texas",ISNUMBER(SEARCH("WVTC:", O9)), "Texas",ISNUMBER(SEARCH("TSC:", O9)), "Texas",ISNUMBER(SEARCH("V-AR Blvd:", O9)), "Arkansas",ISNUMBER(SEARCH("V-Maumelle:", O9)), "Arkansas",ISNUMBER(SEARCH("V-Atlanta:", O9)), "Texas",ISNUMBER(SEARCH("VBlanchard:", O9)), "Louisiana",ISNUMBER(SEARCH("V-Bryant:", O9)), "Arkansas",ISNUMBER(SEARCH("V-Choctaw:", O9)), "Oklahoma",ISNUMBER(SEARCH("V-DeQueen:", O9)), "Arkansas",ISNUMBER(SEARCH("V-Longview:", O9)), "Texas",ISNUMBER(SEARCH("V-Marshall:", O9)), "Texas",ISNUMBER(SEARCH("V-MWC:", O9)), "Oklahoma",ISNUMBER(SEARCH("V-Moore:", O9)), "Oklahoma",ISNUMBER(SEARCH("V-MP:", O9)), "Texas",ISNUMBER(SEARCH("V-Edmond:", O9)), "Oklahoma",ISNUMBER(SEARCH("V-Paris:", O9)), "Texas",ISNUMBER(SEARCH("V-RR:", O9)), "Texas",ISNUMBER(SEARCH("V-Sherwood:", O9)), "Arkansas",ISNUMBER(SEARCH("V-WV:", O9)), "Texas",ISNUMBER(SEARCH("HealthCARE Express - Richmond Road", O9)), "Texas",ISNUMBER(SEARCH("HealthCARE Express - Occupational Medicine", O9)), "Texas")</f>
        <v>Arkansas</v>
      </c>
      <c r="Q9" t="s">
        <v>869</v>
      </c>
      <c r="R9" t="s">
        <v>868</v>
      </c>
      <c r="S9" t="s">
        <v>77</v>
      </c>
      <c r="T9" t="s">
        <v>857</v>
      </c>
      <c r="U9" t="s">
        <v>875</v>
      </c>
      <c r="V9" t="s">
        <v>844</v>
      </c>
      <c r="AF9" t="str" cm="1">
        <f t="array" ref="AF9">IF(SUMPRODUCT(--ISNUMBER(SEARCH("992",T9:AE9)))&gt;0, "E&amp;M", "No E&amp;M")</f>
        <v>E&amp;M</v>
      </c>
      <c r="AG9" t="str">
        <f t="shared" si="3"/>
        <v>99204</v>
      </c>
      <c r="AH9" t="str">
        <f t="shared" si="4"/>
        <v>New Patient</v>
      </c>
      <c r="AI9" t="str">
        <f t="shared" si="2"/>
        <v>Little Rock Region</v>
      </c>
    </row>
    <row r="10" spans="1:35" x14ac:dyDescent="0.3">
      <c r="A10" t="s">
        <v>83</v>
      </c>
      <c r="B10" t="s">
        <v>67</v>
      </c>
      <c r="C10" t="s">
        <v>84</v>
      </c>
      <c r="D10" t="s">
        <v>85</v>
      </c>
      <c r="E10" t="s">
        <v>86</v>
      </c>
      <c r="F10" t="s">
        <v>19</v>
      </c>
      <c r="G10" t="s">
        <v>87</v>
      </c>
      <c r="H10" t="s">
        <v>88</v>
      </c>
      <c r="I10" t="s">
        <v>22</v>
      </c>
      <c r="J10" t="s">
        <v>22</v>
      </c>
      <c r="K10" t="s">
        <v>89</v>
      </c>
      <c r="L10" t="s">
        <v>90</v>
      </c>
      <c r="M10" t="s">
        <v>91</v>
      </c>
      <c r="N10" t="s">
        <v>85</v>
      </c>
      <c r="O10" t="s">
        <v>871</v>
      </c>
      <c r="P10" t="str" cm="1">
        <f t="array" ref="P10">_xlfn.IFS(ISNUMBER(SEARCH("AEIC:", O10)), "Arkansas",ISNUMBER(SEARCH("STM:", O10)), "Texas",ISNUMBER(SEARCH("BILLING:", O10)), "Texas",ISNUMBER(SEARCH("AM:", O10)), "Texas",ISNUMBER(SEARCH("ARBlvd:", O10)), "Arkansas",ISNUMBER(SEARCH("Atlanta:", O10)), "Texas",ISNUMBER(SEARCH("Blanchard:", O10)), "Louisiana",ISNUMBER(SEARCH("Bryant:", O10)), "Arkansas",ISNUMBER(SEARCH("Choctaw:", O10)), "Oklahoma",ISNUMBER(SEARCH("Choc Allgy:", O10)), "Oklahoma",ISNUMBER(SEARCH("DeQueen:", O10)), "Arkansas",ISNUMBER(SEARCH("Edmond:", O10)), "Oklahoma",ISNUMBER(SEARCH("Edmd Aller:", O10)), "Oklahoma",ISNUMBER(SEARCH("Imaging:", O10)), "Texas",ISNUMBER(SEARCH("Longview:", O10)), "Texas",ISNUMBER(SEARCH("Marshall:", O10)), "Texas",ISNUMBER(SEARCH("Mar Allerg:", O10)), "Texas",ISNUMBER(SEARCH("Maumelle:", O10)), "Arkansas",ISNUMBER(SEARCH("MWC:", O10)), "Oklahoma",ISNUMBER(SEARCH("MWC Allgy:", O10)), "Oklahoma",ISNUMBER(SEARCH("Moore:", O10)), "Oklahoma",ISNUMBER(SEARCH("MooreAllgy:", O10)), "Oklahoma",ISNUMBER(SEARCH("MtPleasant:", O10)), "Texas",ISNUMBER(SEARCH("OccOffsite:", O10)), "Texas",ISNUMBER(SEARCH("Pain Mgmt:", O10)), "Texas",ISNUMBER(SEARCH("Paris:", O10)), "Texas",ISNUMBER(SEARCH("PT:", O10)), "Texas",ISNUMBER(SEARCH("RR Allergy:", O10)), "Texas",ISNUMBER(SEARCH("Sherwood:", O10)), "Arkansas",ISNUMBER(SEARCH("WV:", O10)), "Texas",ISNUMBER(SEARCH("Nur-Home:", O10)), "Texas",ISNUMBER(SEARCH("THC:", O10)), "Texas",ISNUMBER(SEARCH("WVTC:", O10)), "Texas",ISNUMBER(SEARCH("TSC:", O10)), "Texas",ISNUMBER(SEARCH("V-AR Blvd:", O10)), "Arkansas",ISNUMBER(SEARCH("V-Maumelle:", O10)), "Arkansas",ISNUMBER(SEARCH("V-Atlanta:", O10)), "Texas",ISNUMBER(SEARCH("VBlanchard:", O10)), "Louisiana",ISNUMBER(SEARCH("V-Bryant:", O10)), "Arkansas",ISNUMBER(SEARCH("V-Choctaw:", O10)), "Oklahoma",ISNUMBER(SEARCH("V-DeQueen:", O10)), "Arkansas",ISNUMBER(SEARCH("V-Longview:", O10)), "Texas",ISNUMBER(SEARCH("V-Marshall:", O10)), "Texas",ISNUMBER(SEARCH("V-MWC:", O10)), "Oklahoma",ISNUMBER(SEARCH("V-Moore:", O10)), "Oklahoma",ISNUMBER(SEARCH("V-MP:", O10)), "Texas",ISNUMBER(SEARCH("V-Edmond:", O10)), "Oklahoma",ISNUMBER(SEARCH("V-Paris:", O10)), "Texas",ISNUMBER(SEARCH("V-RR:", O10)), "Texas",ISNUMBER(SEARCH("V-Sherwood:", O10)), "Arkansas",ISNUMBER(SEARCH("V-WV:", O10)), "Texas",ISNUMBER(SEARCH("HealthCARE Express - Richmond Road", O10)), "Texas",ISNUMBER(SEARCH("HealthCARE Express - Occupational Medicine", O10)), "Texas")</f>
        <v>Oklahoma</v>
      </c>
      <c r="Q10" t="s">
        <v>841</v>
      </c>
      <c r="R10" t="s">
        <v>876</v>
      </c>
      <c r="S10" t="s">
        <v>86</v>
      </c>
      <c r="T10" t="s">
        <v>848</v>
      </c>
      <c r="U10" t="s">
        <v>843</v>
      </c>
      <c r="V10" t="s">
        <v>877</v>
      </c>
      <c r="W10" t="s">
        <v>873</v>
      </c>
      <c r="AF10" t="str" cm="1">
        <f t="array" ref="AF10">IF(SUMPRODUCT(--ISNUMBER(SEARCH("992",T10:AE10)))&gt;0, "E&amp;M", "No E&amp;M")</f>
        <v>E&amp;M</v>
      </c>
      <c r="AG10" t="str">
        <f t="shared" si="3"/>
        <v>99214</v>
      </c>
      <c r="AH10" t="str">
        <f t="shared" si="4"/>
        <v>Estd. Patient</v>
      </c>
      <c r="AI10" t="str">
        <f t="shared" si="2"/>
        <v>Oklahoma</v>
      </c>
    </row>
    <row r="11" spans="1:35" x14ac:dyDescent="0.3">
      <c r="A11" t="s">
        <v>92</v>
      </c>
      <c r="B11" t="s">
        <v>93</v>
      </c>
      <c r="C11" t="s">
        <v>94</v>
      </c>
      <c r="D11" t="s">
        <v>95</v>
      </c>
      <c r="E11" t="s">
        <v>96</v>
      </c>
      <c r="F11" t="s">
        <v>19</v>
      </c>
      <c r="G11" t="s">
        <v>97</v>
      </c>
      <c r="H11" t="s">
        <v>98</v>
      </c>
      <c r="I11" t="s">
        <v>22</v>
      </c>
      <c r="J11" t="s">
        <v>22</v>
      </c>
      <c r="K11" t="s">
        <v>99</v>
      </c>
      <c r="L11" t="s">
        <v>100</v>
      </c>
      <c r="M11" t="s">
        <v>101</v>
      </c>
      <c r="N11" t="s">
        <v>102</v>
      </c>
      <c r="O11" t="s">
        <v>878</v>
      </c>
      <c r="P11" t="str" cm="1">
        <f t="array" ref="P11">_xlfn.IFS(ISNUMBER(SEARCH("AEIC:", O11)), "Arkansas",ISNUMBER(SEARCH("STM:", O11)), "Texas",ISNUMBER(SEARCH("BILLING:", O11)), "Texas",ISNUMBER(SEARCH("AM:", O11)), "Texas",ISNUMBER(SEARCH("ARBlvd:", O11)), "Arkansas",ISNUMBER(SEARCH("Atlanta:", O11)), "Texas",ISNUMBER(SEARCH("Blanchard:", O11)), "Louisiana",ISNUMBER(SEARCH("Bryant:", O11)), "Arkansas",ISNUMBER(SEARCH("Choctaw:", O11)), "Oklahoma",ISNUMBER(SEARCH("Choc Allgy:", O11)), "Oklahoma",ISNUMBER(SEARCH("DeQueen:", O11)), "Arkansas",ISNUMBER(SEARCH("Edmond:", O11)), "Oklahoma",ISNUMBER(SEARCH("Edmd Aller:", O11)), "Oklahoma",ISNUMBER(SEARCH("Imaging:", O11)), "Texas",ISNUMBER(SEARCH("Longview:", O11)), "Texas",ISNUMBER(SEARCH("Marshall:", O11)), "Texas",ISNUMBER(SEARCH("Mar Allerg:", O11)), "Texas",ISNUMBER(SEARCH("Maumelle:", O11)), "Arkansas",ISNUMBER(SEARCH("MWC:", O11)), "Oklahoma",ISNUMBER(SEARCH("MWC Allgy:", O11)), "Oklahoma",ISNUMBER(SEARCH("Moore:", O11)), "Oklahoma",ISNUMBER(SEARCH("MooreAllgy:", O11)), "Oklahoma",ISNUMBER(SEARCH("MtPleasant:", O11)), "Texas",ISNUMBER(SEARCH("OccOffsite:", O11)), "Texas",ISNUMBER(SEARCH("Pain Mgmt:", O11)), "Texas",ISNUMBER(SEARCH("Paris:", O11)), "Texas",ISNUMBER(SEARCH("PT:", O11)), "Texas",ISNUMBER(SEARCH("RR Allergy:", O11)), "Texas",ISNUMBER(SEARCH("Sherwood:", O11)), "Arkansas",ISNUMBER(SEARCH("WV:", O11)), "Texas",ISNUMBER(SEARCH("Nur-Home:", O11)), "Texas",ISNUMBER(SEARCH("THC:", O11)), "Texas",ISNUMBER(SEARCH("WVTC:", O11)), "Texas",ISNUMBER(SEARCH("TSC:", O11)), "Texas",ISNUMBER(SEARCH("V-AR Blvd:", O11)), "Arkansas",ISNUMBER(SEARCH("V-Maumelle:", O11)), "Arkansas",ISNUMBER(SEARCH("V-Atlanta:", O11)), "Texas",ISNUMBER(SEARCH("VBlanchard:", O11)), "Louisiana",ISNUMBER(SEARCH("V-Bryant:", O11)), "Arkansas",ISNUMBER(SEARCH("V-Choctaw:", O11)), "Oklahoma",ISNUMBER(SEARCH("V-DeQueen:", O11)), "Arkansas",ISNUMBER(SEARCH("V-Longview:", O11)), "Texas",ISNUMBER(SEARCH("V-Marshall:", O11)), "Texas",ISNUMBER(SEARCH("V-MWC:", O11)), "Oklahoma",ISNUMBER(SEARCH("V-Moore:", O11)), "Oklahoma",ISNUMBER(SEARCH("V-MP:", O11)), "Texas",ISNUMBER(SEARCH("V-Edmond:", O11)), "Oklahoma",ISNUMBER(SEARCH("V-Paris:", O11)), "Texas",ISNUMBER(SEARCH("V-RR:", O11)), "Texas",ISNUMBER(SEARCH("V-Sherwood:", O11)), "Arkansas",ISNUMBER(SEARCH("V-WV:", O11)), "Texas",ISNUMBER(SEARCH("HealthCARE Express - Richmond Road", O11)), "Texas",ISNUMBER(SEARCH("HealthCARE Express - Occupational Medicine", O11)), "Texas")</f>
        <v>Arkansas</v>
      </c>
      <c r="Q11" t="s">
        <v>869</v>
      </c>
      <c r="R11" t="s">
        <v>879</v>
      </c>
      <c r="S11" t="s">
        <v>96</v>
      </c>
      <c r="T11" t="s">
        <v>848</v>
      </c>
      <c r="U11" t="s">
        <v>880</v>
      </c>
      <c r="V11" t="s">
        <v>873</v>
      </c>
      <c r="AF11" t="str" cm="1">
        <f t="array" ref="AF11">IF(SUMPRODUCT(--ISNUMBER(SEARCH("992",T11:AE11)))&gt;0, "E&amp;M", "No E&amp;M")</f>
        <v>E&amp;M</v>
      </c>
      <c r="AG11" t="str">
        <f t="shared" si="3"/>
        <v>99214</v>
      </c>
      <c r="AH11" t="str">
        <f t="shared" si="4"/>
        <v>Estd. Patient</v>
      </c>
      <c r="AI11" t="str">
        <f t="shared" si="2"/>
        <v>Texas/La/DQ/Ark Blvd</v>
      </c>
    </row>
    <row r="12" spans="1:35" x14ac:dyDescent="0.3">
      <c r="A12" t="s">
        <v>103</v>
      </c>
      <c r="B12" t="s">
        <v>93</v>
      </c>
      <c r="C12" t="s">
        <v>84</v>
      </c>
      <c r="D12" t="s">
        <v>104</v>
      </c>
      <c r="E12" t="s">
        <v>105</v>
      </c>
      <c r="F12" t="s">
        <v>19</v>
      </c>
      <c r="G12" t="s">
        <v>106</v>
      </c>
      <c r="H12" t="s">
        <v>22</v>
      </c>
      <c r="I12" t="s">
        <v>22</v>
      </c>
      <c r="J12" t="s">
        <v>22</v>
      </c>
      <c r="K12" t="s">
        <v>106</v>
      </c>
      <c r="L12" t="s">
        <v>107</v>
      </c>
      <c r="M12" t="s">
        <v>91</v>
      </c>
      <c r="N12" t="s">
        <v>104</v>
      </c>
      <c r="O12" t="s">
        <v>881</v>
      </c>
      <c r="P12" t="str" cm="1">
        <f t="array" ref="P12">_xlfn.IFS(ISNUMBER(SEARCH("AEIC:", O12)), "Arkansas",ISNUMBER(SEARCH("STM:", O12)), "Texas",ISNUMBER(SEARCH("BILLING:", O12)), "Texas",ISNUMBER(SEARCH("AM:", O12)), "Texas",ISNUMBER(SEARCH("ARBlvd:", O12)), "Arkansas",ISNUMBER(SEARCH("Atlanta:", O12)), "Texas",ISNUMBER(SEARCH("Blanchard:", O12)), "Louisiana",ISNUMBER(SEARCH("Bryant:", O12)), "Arkansas",ISNUMBER(SEARCH("Choctaw:", O12)), "Oklahoma",ISNUMBER(SEARCH("Choc Allgy:", O12)), "Oklahoma",ISNUMBER(SEARCH("DeQueen:", O12)), "Arkansas",ISNUMBER(SEARCH("Edmond:", O12)), "Oklahoma",ISNUMBER(SEARCH("Edmd Aller:", O12)), "Oklahoma",ISNUMBER(SEARCH("Imaging:", O12)), "Texas",ISNUMBER(SEARCH("Longview:", O12)), "Texas",ISNUMBER(SEARCH("Marshall:", O12)), "Texas",ISNUMBER(SEARCH("Mar Allerg:", O12)), "Texas",ISNUMBER(SEARCH("Maumelle:", O12)), "Arkansas",ISNUMBER(SEARCH("MWC:", O12)), "Oklahoma",ISNUMBER(SEARCH("MWC Allgy:", O12)), "Oklahoma",ISNUMBER(SEARCH("Moore:", O12)), "Oklahoma",ISNUMBER(SEARCH("MooreAllgy:", O12)), "Oklahoma",ISNUMBER(SEARCH("MtPleasant:", O12)), "Texas",ISNUMBER(SEARCH("OccOffsite:", O12)), "Texas",ISNUMBER(SEARCH("Pain Mgmt:", O12)), "Texas",ISNUMBER(SEARCH("Paris:", O12)), "Texas",ISNUMBER(SEARCH("PT:", O12)), "Texas",ISNUMBER(SEARCH("RR Allergy:", O12)), "Texas",ISNUMBER(SEARCH("Sherwood:", O12)), "Arkansas",ISNUMBER(SEARCH("WV:", O12)), "Texas",ISNUMBER(SEARCH("Nur-Home:", O12)), "Texas",ISNUMBER(SEARCH("THC:", O12)), "Texas",ISNUMBER(SEARCH("WVTC:", O12)), "Texas",ISNUMBER(SEARCH("TSC:", O12)), "Texas",ISNUMBER(SEARCH("V-AR Blvd:", O12)), "Arkansas",ISNUMBER(SEARCH("V-Maumelle:", O12)), "Arkansas",ISNUMBER(SEARCH("V-Atlanta:", O12)), "Texas",ISNUMBER(SEARCH("VBlanchard:", O12)), "Louisiana",ISNUMBER(SEARCH("V-Bryant:", O12)), "Arkansas",ISNUMBER(SEARCH("V-Choctaw:", O12)), "Oklahoma",ISNUMBER(SEARCH("V-DeQueen:", O12)), "Arkansas",ISNUMBER(SEARCH("V-Longview:", O12)), "Texas",ISNUMBER(SEARCH("V-Marshall:", O12)), "Texas",ISNUMBER(SEARCH("V-MWC:", O12)), "Oklahoma",ISNUMBER(SEARCH("V-Moore:", O12)), "Oklahoma",ISNUMBER(SEARCH("V-MP:", O12)), "Texas",ISNUMBER(SEARCH("V-Edmond:", O12)), "Oklahoma",ISNUMBER(SEARCH("V-Paris:", O12)), "Texas",ISNUMBER(SEARCH("V-RR:", O12)), "Texas",ISNUMBER(SEARCH("V-Sherwood:", O12)), "Arkansas",ISNUMBER(SEARCH("V-WV:", O12)), "Texas",ISNUMBER(SEARCH("HealthCARE Express - Richmond Road", O12)), "Texas",ISNUMBER(SEARCH("HealthCARE Express - Occupational Medicine", O12)), "Texas")</f>
        <v>Oklahoma</v>
      </c>
      <c r="Q12" t="s">
        <v>841</v>
      </c>
      <c r="R12" t="s">
        <v>882</v>
      </c>
      <c r="S12" t="s">
        <v>105</v>
      </c>
      <c r="T12" t="s">
        <v>842</v>
      </c>
      <c r="AF12" t="str" cm="1">
        <f t="array" ref="AF12">IF(SUMPRODUCT(--ISNUMBER(SEARCH("992",T12:AE12)))&gt;0, "E&amp;M", "No E&amp;M")</f>
        <v>E&amp;M</v>
      </c>
      <c r="AG12" t="str">
        <f t="shared" si="3"/>
        <v>99213</v>
      </c>
      <c r="AH12" t="str">
        <f t="shared" si="4"/>
        <v>Estd. Patient</v>
      </c>
      <c r="AI12" t="str">
        <f t="shared" si="2"/>
        <v>Oklahoma</v>
      </c>
    </row>
    <row r="13" spans="1:35" x14ac:dyDescent="0.3">
      <c r="A13" t="s">
        <v>108</v>
      </c>
      <c r="B13" t="s">
        <v>93</v>
      </c>
      <c r="C13" t="s">
        <v>109</v>
      </c>
      <c r="D13" t="s">
        <v>110</v>
      </c>
      <c r="E13" t="s">
        <v>111</v>
      </c>
      <c r="F13" t="s">
        <v>19</v>
      </c>
      <c r="G13" t="s">
        <v>89</v>
      </c>
      <c r="H13" t="s">
        <v>22</v>
      </c>
      <c r="I13" t="s">
        <v>22</v>
      </c>
      <c r="J13" t="s">
        <v>22</v>
      </c>
      <c r="K13" t="s">
        <v>89</v>
      </c>
      <c r="L13" t="s">
        <v>112</v>
      </c>
      <c r="M13" t="s">
        <v>113</v>
      </c>
      <c r="N13" t="s">
        <v>110</v>
      </c>
      <c r="O13" t="s">
        <v>883</v>
      </c>
      <c r="P13" t="str" cm="1">
        <f t="array" ref="P13">_xlfn.IFS(ISNUMBER(SEARCH("AEIC:", O13)), "Arkansas",ISNUMBER(SEARCH("STM:", O13)), "Texas",ISNUMBER(SEARCH("BILLING:", O13)), "Texas",ISNUMBER(SEARCH("AM:", O13)), "Texas",ISNUMBER(SEARCH("ARBlvd:", O13)), "Arkansas",ISNUMBER(SEARCH("Atlanta:", O13)), "Texas",ISNUMBER(SEARCH("Blanchard:", O13)), "Louisiana",ISNUMBER(SEARCH("Bryant:", O13)), "Arkansas",ISNUMBER(SEARCH("Choctaw:", O13)), "Oklahoma",ISNUMBER(SEARCH("Choc Allgy:", O13)), "Oklahoma",ISNUMBER(SEARCH("DeQueen:", O13)), "Arkansas",ISNUMBER(SEARCH("Edmond:", O13)), "Oklahoma",ISNUMBER(SEARCH("Edmd Aller:", O13)), "Oklahoma",ISNUMBER(SEARCH("Imaging:", O13)), "Texas",ISNUMBER(SEARCH("Longview:", O13)), "Texas",ISNUMBER(SEARCH("Marshall:", O13)), "Texas",ISNUMBER(SEARCH("Mar Allerg:", O13)), "Texas",ISNUMBER(SEARCH("Maumelle:", O13)), "Arkansas",ISNUMBER(SEARCH("MWC:", O13)), "Oklahoma",ISNUMBER(SEARCH("MWC Allgy:", O13)), "Oklahoma",ISNUMBER(SEARCH("Moore:", O13)), "Oklahoma",ISNUMBER(SEARCH("MooreAllgy:", O13)), "Oklahoma",ISNUMBER(SEARCH("MtPleasant:", O13)), "Texas",ISNUMBER(SEARCH("OccOffsite:", O13)), "Texas",ISNUMBER(SEARCH("Pain Mgmt:", O13)), "Texas",ISNUMBER(SEARCH("Paris:", O13)), "Texas",ISNUMBER(SEARCH("PT:", O13)), "Texas",ISNUMBER(SEARCH("RR Allergy:", O13)), "Texas",ISNUMBER(SEARCH("Sherwood:", O13)), "Arkansas",ISNUMBER(SEARCH("WV:", O13)), "Texas",ISNUMBER(SEARCH("Nur-Home:", O13)), "Texas",ISNUMBER(SEARCH("THC:", O13)), "Texas",ISNUMBER(SEARCH("WVTC:", O13)), "Texas",ISNUMBER(SEARCH("TSC:", O13)), "Texas",ISNUMBER(SEARCH("V-AR Blvd:", O13)), "Arkansas",ISNUMBER(SEARCH("V-Maumelle:", O13)), "Arkansas",ISNUMBER(SEARCH("V-Atlanta:", O13)), "Texas",ISNUMBER(SEARCH("VBlanchard:", O13)), "Louisiana",ISNUMBER(SEARCH("V-Bryant:", O13)), "Arkansas",ISNUMBER(SEARCH("V-Choctaw:", O13)), "Oklahoma",ISNUMBER(SEARCH("V-DeQueen:", O13)), "Arkansas",ISNUMBER(SEARCH("V-Longview:", O13)), "Texas",ISNUMBER(SEARCH("V-Marshall:", O13)), "Texas",ISNUMBER(SEARCH("V-MWC:", O13)), "Oklahoma",ISNUMBER(SEARCH("V-Moore:", O13)), "Oklahoma",ISNUMBER(SEARCH("V-MP:", O13)), "Texas",ISNUMBER(SEARCH("V-Edmond:", O13)), "Oklahoma",ISNUMBER(SEARCH("V-Paris:", O13)), "Texas",ISNUMBER(SEARCH("V-RR:", O13)), "Texas",ISNUMBER(SEARCH("V-Sherwood:", O13)), "Arkansas",ISNUMBER(SEARCH("V-WV:", O13)), "Texas",ISNUMBER(SEARCH("HealthCARE Express - Richmond Road", O13)), "Texas",ISNUMBER(SEARCH("HealthCARE Express - Occupational Medicine", O13)), "Texas")</f>
        <v>Arkansas</v>
      </c>
      <c r="Q13" t="s">
        <v>841</v>
      </c>
      <c r="R13" t="s">
        <v>872</v>
      </c>
      <c r="S13" t="s">
        <v>111</v>
      </c>
      <c r="T13" t="s">
        <v>857</v>
      </c>
      <c r="U13" t="s">
        <v>884</v>
      </c>
      <c r="V13" t="s">
        <v>864</v>
      </c>
      <c r="AF13" t="str" cm="1">
        <f t="array" ref="AF13">IF(SUMPRODUCT(--ISNUMBER(SEARCH("992",T13:AE13)))&gt;0, "E&amp;M", "No E&amp;M")</f>
        <v>E&amp;M</v>
      </c>
      <c r="AG13" t="str">
        <f t="shared" si="3"/>
        <v>99204</v>
      </c>
      <c r="AH13" t="str">
        <f t="shared" si="4"/>
        <v>New Patient</v>
      </c>
      <c r="AI13" t="str">
        <f t="shared" si="2"/>
        <v>Little Rock Region</v>
      </c>
    </row>
    <row r="14" spans="1:35" x14ac:dyDescent="0.3">
      <c r="A14" t="s">
        <v>114</v>
      </c>
      <c r="B14" t="s">
        <v>93</v>
      </c>
      <c r="C14" t="s">
        <v>115</v>
      </c>
      <c r="D14" t="s">
        <v>116</v>
      </c>
      <c r="E14" t="s">
        <v>39</v>
      </c>
      <c r="F14" t="s">
        <v>19</v>
      </c>
      <c r="G14" t="s">
        <v>106</v>
      </c>
      <c r="H14" t="s">
        <v>117</v>
      </c>
      <c r="I14" t="s">
        <v>22</v>
      </c>
      <c r="J14" t="s">
        <v>22</v>
      </c>
      <c r="K14" t="s">
        <v>118</v>
      </c>
      <c r="L14" t="s">
        <v>119</v>
      </c>
      <c r="M14" t="s">
        <v>120</v>
      </c>
      <c r="N14" t="s">
        <v>121</v>
      </c>
      <c r="O14" t="s">
        <v>885</v>
      </c>
      <c r="P14" t="str" cm="1">
        <f t="array" ref="P14">_xlfn.IFS(ISNUMBER(SEARCH("AEIC:", O14)), "Arkansas",ISNUMBER(SEARCH("STM:", O14)), "Texas",ISNUMBER(SEARCH("BILLING:", O14)), "Texas",ISNUMBER(SEARCH("AM:", O14)), "Texas",ISNUMBER(SEARCH("ARBlvd:", O14)), "Arkansas",ISNUMBER(SEARCH("Atlanta:", O14)), "Texas",ISNUMBER(SEARCH("Blanchard:", O14)), "Louisiana",ISNUMBER(SEARCH("Bryant:", O14)), "Arkansas",ISNUMBER(SEARCH("Choctaw:", O14)), "Oklahoma",ISNUMBER(SEARCH("Choc Allgy:", O14)), "Oklahoma",ISNUMBER(SEARCH("DeQueen:", O14)), "Arkansas",ISNUMBER(SEARCH("Edmond:", O14)), "Oklahoma",ISNUMBER(SEARCH("Edmd Aller:", O14)), "Oklahoma",ISNUMBER(SEARCH("Imaging:", O14)), "Texas",ISNUMBER(SEARCH("Longview:", O14)), "Texas",ISNUMBER(SEARCH("Marshall:", O14)), "Texas",ISNUMBER(SEARCH("Mar Allerg:", O14)), "Texas",ISNUMBER(SEARCH("Maumelle:", O14)), "Arkansas",ISNUMBER(SEARCH("MWC:", O14)), "Oklahoma",ISNUMBER(SEARCH("MWC Allgy:", O14)), "Oklahoma",ISNUMBER(SEARCH("Moore:", O14)), "Oklahoma",ISNUMBER(SEARCH("MooreAllgy:", O14)), "Oklahoma",ISNUMBER(SEARCH("MtPleasant:", O14)), "Texas",ISNUMBER(SEARCH("OccOffsite:", O14)), "Texas",ISNUMBER(SEARCH("Pain Mgmt:", O14)), "Texas",ISNUMBER(SEARCH("Paris:", O14)), "Texas",ISNUMBER(SEARCH("PT:", O14)), "Texas",ISNUMBER(SEARCH("RR Allergy:", O14)), "Texas",ISNUMBER(SEARCH("Sherwood:", O14)), "Arkansas",ISNUMBER(SEARCH("WV:", O14)), "Texas",ISNUMBER(SEARCH("Nur-Home:", O14)), "Texas",ISNUMBER(SEARCH("THC:", O14)), "Texas",ISNUMBER(SEARCH("WVTC:", O14)), "Texas",ISNUMBER(SEARCH("TSC:", O14)), "Texas",ISNUMBER(SEARCH("V-AR Blvd:", O14)), "Arkansas",ISNUMBER(SEARCH("V-Maumelle:", O14)), "Arkansas",ISNUMBER(SEARCH("V-Atlanta:", O14)), "Texas",ISNUMBER(SEARCH("VBlanchard:", O14)), "Louisiana",ISNUMBER(SEARCH("V-Bryant:", O14)), "Arkansas",ISNUMBER(SEARCH("V-Choctaw:", O14)), "Oklahoma",ISNUMBER(SEARCH("V-DeQueen:", O14)), "Arkansas",ISNUMBER(SEARCH("V-Longview:", O14)), "Texas",ISNUMBER(SEARCH("V-Marshall:", O14)), "Texas",ISNUMBER(SEARCH("V-MWC:", O14)), "Oklahoma",ISNUMBER(SEARCH("V-Moore:", O14)), "Oklahoma",ISNUMBER(SEARCH("V-MP:", O14)), "Texas",ISNUMBER(SEARCH("V-Edmond:", O14)), "Oklahoma",ISNUMBER(SEARCH("V-Paris:", O14)), "Texas",ISNUMBER(SEARCH("V-RR:", O14)), "Texas",ISNUMBER(SEARCH("V-Sherwood:", O14)), "Arkansas",ISNUMBER(SEARCH("V-WV:", O14)), "Texas",ISNUMBER(SEARCH("HealthCARE Express - Richmond Road", O14)), "Texas",ISNUMBER(SEARCH("HealthCARE Express - Occupational Medicine", O14)), "Texas")</f>
        <v>Texas</v>
      </c>
      <c r="Q14" t="s">
        <v>886</v>
      </c>
      <c r="R14" t="s">
        <v>856</v>
      </c>
      <c r="S14" t="s">
        <v>39</v>
      </c>
      <c r="T14" t="s">
        <v>842</v>
      </c>
      <c r="AF14" t="str" cm="1">
        <f t="array" ref="AF14">IF(SUMPRODUCT(--ISNUMBER(SEARCH("992",T14:AE14)))&gt;0, "E&amp;M", "No E&amp;M")</f>
        <v>E&amp;M</v>
      </c>
      <c r="AG14" t="str">
        <f t="shared" si="3"/>
        <v>99213</v>
      </c>
      <c r="AH14" t="str">
        <f t="shared" si="4"/>
        <v>Estd. Patient</v>
      </c>
      <c r="AI14" t="str">
        <f t="shared" si="2"/>
        <v>Texas/La/DQ/Ark Blvd</v>
      </c>
    </row>
    <row r="15" spans="1:35" x14ac:dyDescent="0.3">
      <c r="A15" t="s">
        <v>122</v>
      </c>
      <c r="B15" t="s">
        <v>93</v>
      </c>
      <c r="C15" t="s">
        <v>84</v>
      </c>
      <c r="D15" t="s">
        <v>123</v>
      </c>
      <c r="E15" t="s">
        <v>124</v>
      </c>
      <c r="F15" t="s">
        <v>19</v>
      </c>
      <c r="G15" t="s">
        <v>125</v>
      </c>
      <c r="H15" t="s">
        <v>22</v>
      </c>
      <c r="I15" t="s">
        <v>22</v>
      </c>
      <c r="J15" t="s">
        <v>22</v>
      </c>
      <c r="K15" t="s">
        <v>125</v>
      </c>
      <c r="L15" t="s">
        <v>126</v>
      </c>
      <c r="M15" t="s">
        <v>91</v>
      </c>
      <c r="N15" t="s">
        <v>127</v>
      </c>
      <c r="O15" t="s">
        <v>871</v>
      </c>
      <c r="P15" t="str" cm="1">
        <f t="array" ref="P15">_xlfn.IFS(ISNUMBER(SEARCH("AEIC:", O15)), "Arkansas",ISNUMBER(SEARCH("STM:", O15)), "Texas",ISNUMBER(SEARCH("BILLING:", O15)), "Texas",ISNUMBER(SEARCH("AM:", O15)), "Texas",ISNUMBER(SEARCH("ARBlvd:", O15)), "Arkansas",ISNUMBER(SEARCH("Atlanta:", O15)), "Texas",ISNUMBER(SEARCH("Blanchard:", O15)), "Louisiana",ISNUMBER(SEARCH("Bryant:", O15)), "Arkansas",ISNUMBER(SEARCH("Choctaw:", O15)), "Oklahoma",ISNUMBER(SEARCH("Choc Allgy:", O15)), "Oklahoma",ISNUMBER(SEARCH("DeQueen:", O15)), "Arkansas",ISNUMBER(SEARCH("Edmond:", O15)), "Oklahoma",ISNUMBER(SEARCH("Edmd Aller:", O15)), "Oklahoma",ISNUMBER(SEARCH("Imaging:", O15)), "Texas",ISNUMBER(SEARCH("Longview:", O15)), "Texas",ISNUMBER(SEARCH("Marshall:", O15)), "Texas",ISNUMBER(SEARCH("Mar Allerg:", O15)), "Texas",ISNUMBER(SEARCH("Maumelle:", O15)), "Arkansas",ISNUMBER(SEARCH("MWC:", O15)), "Oklahoma",ISNUMBER(SEARCH("MWC Allgy:", O15)), "Oklahoma",ISNUMBER(SEARCH("Moore:", O15)), "Oklahoma",ISNUMBER(SEARCH("MooreAllgy:", O15)), "Oklahoma",ISNUMBER(SEARCH("MtPleasant:", O15)), "Texas",ISNUMBER(SEARCH("OccOffsite:", O15)), "Texas",ISNUMBER(SEARCH("Pain Mgmt:", O15)), "Texas",ISNUMBER(SEARCH("Paris:", O15)), "Texas",ISNUMBER(SEARCH("PT:", O15)), "Texas",ISNUMBER(SEARCH("RR Allergy:", O15)), "Texas",ISNUMBER(SEARCH("Sherwood:", O15)), "Arkansas",ISNUMBER(SEARCH("WV:", O15)), "Texas",ISNUMBER(SEARCH("Nur-Home:", O15)), "Texas",ISNUMBER(SEARCH("THC:", O15)), "Texas",ISNUMBER(SEARCH("WVTC:", O15)), "Texas",ISNUMBER(SEARCH("TSC:", O15)), "Texas",ISNUMBER(SEARCH("V-AR Blvd:", O15)), "Arkansas",ISNUMBER(SEARCH("V-Maumelle:", O15)), "Arkansas",ISNUMBER(SEARCH("V-Atlanta:", O15)), "Texas",ISNUMBER(SEARCH("VBlanchard:", O15)), "Louisiana",ISNUMBER(SEARCH("V-Bryant:", O15)), "Arkansas",ISNUMBER(SEARCH("V-Choctaw:", O15)), "Oklahoma",ISNUMBER(SEARCH("V-DeQueen:", O15)), "Arkansas",ISNUMBER(SEARCH("V-Longview:", O15)), "Texas",ISNUMBER(SEARCH("V-Marshall:", O15)), "Texas",ISNUMBER(SEARCH("V-MWC:", O15)), "Oklahoma",ISNUMBER(SEARCH("V-Moore:", O15)), "Oklahoma",ISNUMBER(SEARCH("V-MP:", O15)), "Texas",ISNUMBER(SEARCH("V-Edmond:", O15)), "Oklahoma",ISNUMBER(SEARCH("V-Paris:", O15)), "Texas",ISNUMBER(SEARCH("V-RR:", O15)), "Texas",ISNUMBER(SEARCH("V-Sherwood:", O15)), "Arkansas",ISNUMBER(SEARCH("V-WV:", O15)), "Texas",ISNUMBER(SEARCH("HealthCARE Express - Richmond Road", O15)), "Texas",ISNUMBER(SEARCH("HealthCARE Express - Occupational Medicine", O15)), "Texas")</f>
        <v>Oklahoma</v>
      </c>
      <c r="Q15" t="s">
        <v>841</v>
      </c>
      <c r="R15" t="s">
        <v>847</v>
      </c>
      <c r="S15" t="s">
        <v>124</v>
      </c>
      <c r="T15" t="s">
        <v>887</v>
      </c>
      <c r="U15" t="s">
        <v>873</v>
      </c>
      <c r="V15" t="s">
        <v>888</v>
      </c>
      <c r="W15" t="s">
        <v>888</v>
      </c>
      <c r="AF15" t="str" cm="1">
        <f t="array" ref="AF15">IF(SUMPRODUCT(--ISNUMBER(SEARCH("992",T15:AE15)))&gt;0, "E&amp;M", "No E&amp;M")</f>
        <v>No E&amp;M</v>
      </c>
      <c r="AG15" t="str">
        <f t="shared" si="3"/>
        <v>No E&amp;M</v>
      </c>
      <c r="AH15" t="str">
        <f t="shared" si="4"/>
        <v>No E&amp;M</v>
      </c>
      <c r="AI15" t="str">
        <f t="shared" si="2"/>
        <v>Oklahoma</v>
      </c>
    </row>
    <row r="16" spans="1:35" x14ac:dyDescent="0.3">
      <c r="A16" t="s">
        <v>128</v>
      </c>
      <c r="B16" t="s">
        <v>129</v>
      </c>
      <c r="C16" t="s">
        <v>130</v>
      </c>
      <c r="D16" t="s">
        <v>131</v>
      </c>
      <c r="E16" t="s">
        <v>132</v>
      </c>
      <c r="F16" t="s">
        <v>19</v>
      </c>
      <c r="G16" t="s">
        <v>133</v>
      </c>
      <c r="H16" t="s">
        <v>98</v>
      </c>
      <c r="I16" t="s">
        <v>22</v>
      </c>
      <c r="J16" t="s">
        <v>22</v>
      </c>
      <c r="K16" t="s">
        <v>134</v>
      </c>
      <c r="L16" t="s">
        <v>135</v>
      </c>
      <c r="M16" t="s">
        <v>136</v>
      </c>
      <c r="N16" t="s">
        <v>131</v>
      </c>
      <c r="O16" t="s">
        <v>871</v>
      </c>
      <c r="P16" t="str" cm="1">
        <f t="array" ref="P16">_xlfn.IFS(ISNUMBER(SEARCH("AEIC:", O16)), "Arkansas",ISNUMBER(SEARCH("STM:", O16)), "Texas",ISNUMBER(SEARCH("BILLING:", O16)), "Texas",ISNUMBER(SEARCH("AM:", O16)), "Texas",ISNUMBER(SEARCH("ARBlvd:", O16)), "Arkansas",ISNUMBER(SEARCH("Atlanta:", O16)), "Texas",ISNUMBER(SEARCH("Blanchard:", O16)), "Louisiana",ISNUMBER(SEARCH("Bryant:", O16)), "Arkansas",ISNUMBER(SEARCH("Choctaw:", O16)), "Oklahoma",ISNUMBER(SEARCH("Choc Allgy:", O16)), "Oklahoma",ISNUMBER(SEARCH("DeQueen:", O16)), "Arkansas",ISNUMBER(SEARCH("Edmond:", O16)), "Oklahoma",ISNUMBER(SEARCH("Edmd Aller:", O16)), "Oklahoma",ISNUMBER(SEARCH("Imaging:", O16)), "Texas",ISNUMBER(SEARCH("Longview:", O16)), "Texas",ISNUMBER(SEARCH("Marshall:", O16)), "Texas",ISNUMBER(SEARCH("Mar Allerg:", O16)), "Texas",ISNUMBER(SEARCH("Maumelle:", O16)), "Arkansas",ISNUMBER(SEARCH("MWC:", O16)), "Oklahoma",ISNUMBER(SEARCH("MWC Allgy:", O16)), "Oklahoma",ISNUMBER(SEARCH("Moore:", O16)), "Oklahoma",ISNUMBER(SEARCH("MooreAllgy:", O16)), "Oklahoma",ISNUMBER(SEARCH("MtPleasant:", O16)), "Texas",ISNUMBER(SEARCH("OccOffsite:", O16)), "Texas",ISNUMBER(SEARCH("Pain Mgmt:", O16)), "Texas",ISNUMBER(SEARCH("Paris:", O16)), "Texas",ISNUMBER(SEARCH("PT:", O16)), "Texas",ISNUMBER(SEARCH("RR Allergy:", O16)), "Texas",ISNUMBER(SEARCH("Sherwood:", O16)), "Arkansas",ISNUMBER(SEARCH("WV:", O16)), "Texas",ISNUMBER(SEARCH("Nur-Home:", O16)), "Texas",ISNUMBER(SEARCH("THC:", O16)), "Texas",ISNUMBER(SEARCH("WVTC:", O16)), "Texas",ISNUMBER(SEARCH("TSC:", O16)), "Texas",ISNUMBER(SEARCH("V-AR Blvd:", O16)), "Arkansas",ISNUMBER(SEARCH("V-Maumelle:", O16)), "Arkansas",ISNUMBER(SEARCH("V-Atlanta:", O16)), "Texas",ISNUMBER(SEARCH("VBlanchard:", O16)), "Louisiana",ISNUMBER(SEARCH("V-Bryant:", O16)), "Arkansas",ISNUMBER(SEARCH("V-Choctaw:", O16)), "Oklahoma",ISNUMBER(SEARCH("V-DeQueen:", O16)), "Arkansas",ISNUMBER(SEARCH("V-Longview:", O16)), "Texas",ISNUMBER(SEARCH("V-Marshall:", O16)), "Texas",ISNUMBER(SEARCH("V-MWC:", O16)), "Oklahoma",ISNUMBER(SEARCH("V-Moore:", O16)), "Oklahoma",ISNUMBER(SEARCH("V-MP:", O16)), "Texas",ISNUMBER(SEARCH("V-Edmond:", O16)), "Oklahoma",ISNUMBER(SEARCH("V-Paris:", O16)), "Texas",ISNUMBER(SEARCH("V-RR:", O16)), "Texas",ISNUMBER(SEARCH("V-Sherwood:", O16)), "Arkansas",ISNUMBER(SEARCH("V-WV:", O16)), "Texas",ISNUMBER(SEARCH("HealthCARE Express - Richmond Road", O16)), "Texas",ISNUMBER(SEARCH("HealthCARE Express - Occupational Medicine", O16)), "Texas")</f>
        <v>Oklahoma</v>
      </c>
      <c r="Q16" t="s">
        <v>869</v>
      </c>
      <c r="R16" t="s">
        <v>868</v>
      </c>
      <c r="S16" t="s">
        <v>132</v>
      </c>
      <c r="T16" t="s">
        <v>857</v>
      </c>
      <c r="U16" t="s">
        <v>843</v>
      </c>
      <c r="V16" t="s">
        <v>873</v>
      </c>
      <c r="W16" t="s">
        <v>889</v>
      </c>
      <c r="X16" t="s">
        <v>844</v>
      </c>
      <c r="Y16" t="s">
        <v>845</v>
      </c>
      <c r="AF16" t="str" cm="1">
        <f t="array" ref="AF16">IF(SUMPRODUCT(--ISNUMBER(SEARCH("992",T16:AE16)))&gt;0, "E&amp;M", "No E&amp;M")</f>
        <v>E&amp;M</v>
      </c>
      <c r="AG16" t="str">
        <f t="shared" si="3"/>
        <v>99204</v>
      </c>
      <c r="AH16" t="str">
        <f t="shared" si="4"/>
        <v>New Patient</v>
      </c>
      <c r="AI16" t="str">
        <f t="shared" si="2"/>
        <v>-</v>
      </c>
    </row>
    <row r="17" spans="1:35" x14ac:dyDescent="0.3">
      <c r="A17" t="s">
        <v>137</v>
      </c>
      <c r="B17" t="s">
        <v>129</v>
      </c>
      <c r="C17" t="s">
        <v>138</v>
      </c>
      <c r="D17" t="s">
        <v>139</v>
      </c>
      <c r="E17" t="s">
        <v>140</v>
      </c>
      <c r="F17" t="s">
        <v>19</v>
      </c>
      <c r="G17" t="s">
        <v>141</v>
      </c>
      <c r="H17" t="s">
        <v>22</v>
      </c>
      <c r="I17" t="s">
        <v>22</v>
      </c>
      <c r="J17" t="s">
        <v>22</v>
      </c>
      <c r="K17" t="s">
        <v>141</v>
      </c>
      <c r="L17" t="s">
        <v>142</v>
      </c>
      <c r="M17" t="s">
        <v>143</v>
      </c>
      <c r="N17" t="s">
        <v>144</v>
      </c>
      <c r="O17" t="s">
        <v>874</v>
      </c>
      <c r="P17" t="str" cm="1">
        <f t="array" ref="P17">_xlfn.IFS(ISNUMBER(SEARCH("AEIC:", O17)), "Arkansas",ISNUMBER(SEARCH("STM:", O17)), "Texas",ISNUMBER(SEARCH("BILLING:", O17)), "Texas",ISNUMBER(SEARCH("AM:", O17)), "Texas",ISNUMBER(SEARCH("ARBlvd:", O17)), "Arkansas",ISNUMBER(SEARCH("Atlanta:", O17)), "Texas",ISNUMBER(SEARCH("Blanchard:", O17)), "Louisiana",ISNUMBER(SEARCH("Bryant:", O17)), "Arkansas",ISNUMBER(SEARCH("Choctaw:", O17)), "Oklahoma",ISNUMBER(SEARCH("Choc Allgy:", O17)), "Oklahoma",ISNUMBER(SEARCH("DeQueen:", O17)), "Arkansas",ISNUMBER(SEARCH("Edmond:", O17)), "Oklahoma",ISNUMBER(SEARCH("Edmd Aller:", O17)), "Oklahoma",ISNUMBER(SEARCH("Imaging:", O17)), "Texas",ISNUMBER(SEARCH("Longview:", O17)), "Texas",ISNUMBER(SEARCH("Marshall:", O17)), "Texas",ISNUMBER(SEARCH("Mar Allerg:", O17)), "Texas",ISNUMBER(SEARCH("Maumelle:", O17)), "Arkansas",ISNUMBER(SEARCH("MWC:", O17)), "Oklahoma",ISNUMBER(SEARCH("MWC Allgy:", O17)), "Oklahoma",ISNUMBER(SEARCH("Moore:", O17)), "Oklahoma",ISNUMBER(SEARCH("MooreAllgy:", O17)), "Oklahoma",ISNUMBER(SEARCH("MtPleasant:", O17)), "Texas",ISNUMBER(SEARCH("OccOffsite:", O17)), "Texas",ISNUMBER(SEARCH("Pain Mgmt:", O17)), "Texas",ISNUMBER(SEARCH("Paris:", O17)), "Texas",ISNUMBER(SEARCH("PT:", O17)), "Texas",ISNUMBER(SEARCH("RR Allergy:", O17)), "Texas",ISNUMBER(SEARCH("Sherwood:", O17)), "Arkansas",ISNUMBER(SEARCH("WV:", O17)), "Texas",ISNUMBER(SEARCH("Nur-Home:", O17)), "Texas",ISNUMBER(SEARCH("THC:", O17)), "Texas",ISNUMBER(SEARCH("WVTC:", O17)), "Texas",ISNUMBER(SEARCH("TSC:", O17)), "Texas",ISNUMBER(SEARCH("V-AR Blvd:", O17)), "Arkansas",ISNUMBER(SEARCH("V-Maumelle:", O17)), "Arkansas",ISNUMBER(SEARCH("V-Atlanta:", O17)), "Texas",ISNUMBER(SEARCH("VBlanchard:", O17)), "Louisiana",ISNUMBER(SEARCH("V-Bryant:", O17)), "Arkansas",ISNUMBER(SEARCH("V-Choctaw:", O17)), "Oklahoma",ISNUMBER(SEARCH("V-DeQueen:", O17)), "Arkansas",ISNUMBER(SEARCH("V-Longview:", O17)), "Texas",ISNUMBER(SEARCH("V-Marshall:", O17)), "Texas",ISNUMBER(SEARCH("V-MWC:", O17)), "Oklahoma",ISNUMBER(SEARCH("V-Moore:", O17)), "Oklahoma",ISNUMBER(SEARCH("V-MP:", O17)), "Texas",ISNUMBER(SEARCH("V-Edmond:", O17)), "Oklahoma",ISNUMBER(SEARCH("V-Paris:", O17)), "Texas",ISNUMBER(SEARCH("V-RR:", O17)), "Texas",ISNUMBER(SEARCH("V-Sherwood:", O17)), "Arkansas",ISNUMBER(SEARCH("V-WV:", O17)), "Texas",ISNUMBER(SEARCH("HealthCARE Express - Richmond Road", O17)), "Texas",ISNUMBER(SEARCH("HealthCARE Express - Occupational Medicine", O17)), "Texas")</f>
        <v>Arkansas</v>
      </c>
      <c r="Q17" t="s">
        <v>841</v>
      </c>
      <c r="R17" t="s">
        <v>872</v>
      </c>
      <c r="S17" t="s">
        <v>140</v>
      </c>
      <c r="T17" t="s">
        <v>848</v>
      </c>
      <c r="U17" t="s">
        <v>873</v>
      </c>
      <c r="AF17" t="str" cm="1">
        <f t="array" ref="AF17">IF(SUMPRODUCT(--ISNUMBER(SEARCH("992",T17:AE17)))&gt;0, "E&amp;M", "No E&amp;M")</f>
        <v>E&amp;M</v>
      </c>
      <c r="AG17" t="str">
        <f t="shared" si="3"/>
        <v>99214</v>
      </c>
      <c r="AH17" t="str">
        <f t="shared" si="4"/>
        <v>Estd. Patient</v>
      </c>
      <c r="AI17" t="str">
        <f t="shared" si="2"/>
        <v>Little Rock Region</v>
      </c>
    </row>
    <row r="18" spans="1:35" x14ac:dyDescent="0.3">
      <c r="A18" t="s">
        <v>145</v>
      </c>
      <c r="B18" t="s">
        <v>129</v>
      </c>
      <c r="C18" t="s">
        <v>146</v>
      </c>
      <c r="D18" t="s">
        <v>147</v>
      </c>
      <c r="E18" t="s">
        <v>148</v>
      </c>
      <c r="F18" t="s">
        <v>19</v>
      </c>
      <c r="G18" t="s">
        <v>149</v>
      </c>
      <c r="H18" t="s">
        <v>22</v>
      </c>
      <c r="I18" t="s">
        <v>22</v>
      </c>
      <c r="J18" t="s">
        <v>22</v>
      </c>
      <c r="K18" t="s">
        <v>149</v>
      </c>
      <c r="L18" t="s">
        <v>150</v>
      </c>
      <c r="M18" t="s">
        <v>151</v>
      </c>
      <c r="N18" t="s">
        <v>152</v>
      </c>
      <c r="O18" t="s">
        <v>890</v>
      </c>
      <c r="P18" t="str" cm="1">
        <f t="array" ref="P18">_xlfn.IFS(ISNUMBER(SEARCH("AEIC:", O18)), "Arkansas",ISNUMBER(SEARCH("STM:", O18)), "Texas",ISNUMBER(SEARCH("BILLING:", O18)), "Texas",ISNUMBER(SEARCH("AM:", O18)), "Texas",ISNUMBER(SEARCH("ARBlvd:", O18)), "Arkansas",ISNUMBER(SEARCH("Atlanta:", O18)), "Texas",ISNUMBER(SEARCH("Blanchard:", O18)), "Louisiana",ISNUMBER(SEARCH("Bryant:", O18)), "Arkansas",ISNUMBER(SEARCH("Choctaw:", O18)), "Oklahoma",ISNUMBER(SEARCH("Choc Allgy:", O18)), "Oklahoma",ISNUMBER(SEARCH("DeQueen:", O18)), "Arkansas",ISNUMBER(SEARCH("Edmond:", O18)), "Oklahoma",ISNUMBER(SEARCH("Edmd Aller:", O18)), "Oklahoma",ISNUMBER(SEARCH("Imaging:", O18)), "Texas",ISNUMBER(SEARCH("Longview:", O18)), "Texas",ISNUMBER(SEARCH("Marshall:", O18)), "Texas",ISNUMBER(SEARCH("Mar Allerg:", O18)), "Texas",ISNUMBER(SEARCH("Maumelle:", O18)), "Arkansas",ISNUMBER(SEARCH("MWC:", O18)), "Oklahoma",ISNUMBER(SEARCH("MWC Allgy:", O18)), "Oklahoma",ISNUMBER(SEARCH("Moore:", O18)), "Oklahoma",ISNUMBER(SEARCH("MooreAllgy:", O18)), "Oklahoma",ISNUMBER(SEARCH("MtPleasant:", O18)), "Texas",ISNUMBER(SEARCH("OccOffsite:", O18)), "Texas",ISNUMBER(SEARCH("Pain Mgmt:", O18)), "Texas",ISNUMBER(SEARCH("Paris:", O18)), "Texas",ISNUMBER(SEARCH("PT:", O18)), "Texas",ISNUMBER(SEARCH("RR Allergy:", O18)), "Texas",ISNUMBER(SEARCH("Sherwood:", O18)), "Arkansas",ISNUMBER(SEARCH("WV:", O18)), "Texas",ISNUMBER(SEARCH("Nur-Home:", O18)), "Texas",ISNUMBER(SEARCH("THC:", O18)), "Texas",ISNUMBER(SEARCH("WVTC:", O18)), "Texas",ISNUMBER(SEARCH("TSC:", O18)), "Texas",ISNUMBER(SEARCH("V-AR Blvd:", O18)), "Arkansas",ISNUMBER(SEARCH("V-Maumelle:", O18)), "Arkansas",ISNUMBER(SEARCH("V-Atlanta:", O18)), "Texas",ISNUMBER(SEARCH("VBlanchard:", O18)), "Louisiana",ISNUMBER(SEARCH("V-Bryant:", O18)), "Arkansas",ISNUMBER(SEARCH("V-Choctaw:", O18)), "Oklahoma",ISNUMBER(SEARCH("V-DeQueen:", O18)), "Arkansas",ISNUMBER(SEARCH("V-Longview:", O18)), "Texas",ISNUMBER(SEARCH("V-Marshall:", O18)), "Texas",ISNUMBER(SEARCH("V-MWC:", O18)), "Oklahoma",ISNUMBER(SEARCH("V-Moore:", O18)), "Oklahoma",ISNUMBER(SEARCH("V-MP:", O18)), "Texas",ISNUMBER(SEARCH("V-Edmond:", O18)), "Oklahoma",ISNUMBER(SEARCH("V-Paris:", O18)), "Texas",ISNUMBER(SEARCH("V-RR:", O18)), "Texas",ISNUMBER(SEARCH("V-Sherwood:", O18)), "Arkansas",ISNUMBER(SEARCH("V-WV:", O18)), "Texas",ISNUMBER(SEARCH("HealthCARE Express - Richmond Road", O18)), "Texas",ISNUMBER(SEARCH("HealthCARE Express - Occupational Medicine", O18)), "Texas")</f>
        <v>Arkansas</v>
      </c>
      <c r="Q18" t="s">
        <v>841</v>
      </c>
      <c r="R18" t="s">
        <v>847</v>
      </c>
      <c r="S18" t="s">
        <v>148</v>
      </c>
      <c r="T18" t="s">
        <v>848</v>
      </c>
      <c r="U18" t="s">
        <v>844</v>
      </c>
      <c r="V18" t="s">
        <v>864</v>
      </c>
      <c r="W18" t="s">
        <v>845</v>
      </c>
      <c r="AF18" t="str" cm="1">
        <f t="array" ref="AF18">IF(SUMPRODUCT(--ISNUMBER(SEARCH("992",T18:AE18)))&gt;0, "E&amp;M", "No E&amp;M")</f>
        <v>E&amp;M</v>
      </c>
      <c r="AG18" t="str">
        <f t="shared" si="3"/>
        <v>99214</v>
      </c>
      <c r="AH18" t="str">
        <f t="shared" si="4"/>
        <v>Estd. Patient</v>
      </c>
      <c r="AI18" t="str">
        <f t="shared" si="2"/>
        <v>-</v>
      </c>
    </row>
    <row r="19" spans="1:35" x14ac:dyDescent="0.3">
      <c r="A19" t="s">
        <v>153</v>
      </c>
      <c r="B19" t="s">
        <v>129</v>
      </c>
      <c r="C19" t="s">
        <v>154</v>
      </c>
      <c r="D19" t="s">
        <v>155</v>
      </c>
      <c r="E19" t="s">
        <v>156</v>
      </c>
      <c r="F19" t="s">
        <v>19</v>
      </c>
      <c r="G19" t="s">
        <v>106</v>
      </c>
      <c r="H19" t="s">
        <v>22</v>
      </c>
      <c r="I19" t="s">
        <v>22</v>
      </c>
      <c r="J19" t="s">
        <v>22</v>
      </c>
      <c r="K19" t="s">
        <v>106</v>
      </c>
      <c r="L19" t="s">
        <v>157</v>
      </c>
      <c r="M19" t="s">
        <v>158</v>
      </c>
      <c r="N19" t="s">
        <v>155</v>
      </c>
      <c r="O19" t="s">
        <v>891</v>
      </c>
      <c r="P19" t="str" cm="1">
        <f t="array" ref="P19">_xlfn.IFS(ISNUMBER(SEARCH("AEIC:", O19)), "Arkansas",ISNUMBER(SEARCH("STM:", O19)), "Texas",ISNUMBER(SEARCH("BILLING:", O19)), "Texas",ISNUMBER(SEARCH("AM:", O19)), "Texas",ISNUMBER(SEARCH("ARBlvd:", O19)), "Arkansas",ISNUMBER(SEARCH("Atlanta:", O19)), "Texas",ISNUMBER(SEARCH("Blanchard:", O19)), "Louisiana",ISNUMBER(SEARCH("Bryant:", O19)), "Arkansas",ISNUMBER(SEARCH("Choctaw:", O19)), "Oklahoma",ISNUMBER(SEARCH("Choc Allgy:", O19)), "Oklahoma",ISNUMBER(SEARCH("DeQueen:", O19)), "Arkansas",ISNUMBER(SEARCH("Edmond:", O19)), "Oklahoma",ISNUMBER(SEARCH("Edmd Aller:", O19)), "Oklahoma",ISNUMBER(SEARCH("Imaging:", O19)), "Texas",ISNUMBER(SEARCH("Longview:", O19)), "Texas",ISNUMBER(SEARCH("Marshall:", O19)), "Texas",ISNUMBER(SEARCH("Mar Allerg:", O19)), "Texas",ISNUMBER(SEARCH("Maumelle:", O19)), "Arkansas",ISNUMBER(SEARCH("MWC:", O19)), "Oklahoma",ISNUMBER(SEARCH("MWC Allgy:", O19)), "Oklahoma",ISNUMBER(SEARCH("Moore:", O19)), "Oklahoma",ISNUMBER(SEARCH("MooreAllgy:", O19)), "Oklahoma",ISNUMBER(SEARCH("MtPleasant:", O19)), "Texas",ISNUMBER(SEARCH("OccOffsite:", O19)), "Texas",ISNUMBER(SEARCH("Pain Mgmt:", O19)), "Texas",ISNUMBER(SEARCH("Paris:", O19)), "Texas",ISNUMBER(SEARCH("PT:", O19)), "Texas",ISNUMBER(SEARCH("RR Allergy:", O19)), "Texas",ISNUMBER(SEARCH("Sherwood:", O19)), "Arkansas",ISNUMBER(SEARCH("WV:", O19)), "Texas",ISNUMBER(SEARCH("Nur-Home:", O19)), "Texas",ISNUMBER(SEARCH("THC:", O19)), "Texas",ISNUMBER(SEARCH("WVTC:", O19)), "Texas",ISNUMBER(SEARCH("TSC:", O19)), "Texas",ISNUMBER(SEARCH("V-AR Blvd:", O19)), "Arkansas",ISNUMBER(SEARCH("V-Maumelle:", O19)), "Arkansas",ISNUMBER(SEARCH("V-Atlanta:", O19)), "Texas",ISNUMBER(SEARCH("VBlanchard:", O19)), "Louisiana",ISNUMBER(SEARCH("V-Bryant:", O19)), "Arkansas",ISNUMBER(SEARCH("V-Choctaw:", O19)), "Oklahoma",ISNUMBER(SEARCH("V-DeQueen:", O19)), "Arkansas",ISNUMBER(SEARCH("V-Longview:", O19)), "Texas",ISNUMBER(SEARCH("V-Marshall:", O19)), "Texas",ISNUMBER(SEARCH("V-MWC:", O19)), "Oklahoma",ISNUMBER(SEARCH("V-Moore:", O19)), "Oklahoma",ISNUMBER(SEARCH("V-MP:", O19)), "Texas",ISNUMBER(SEARCH("V-Edmond:", O19)), "Oklahoma",ISNUMBER(SEARCH("V-Paris:", O19)), "Texas",ISNUMBER(SEARCH("V-RR:", O19)), "Texas",ISNUMBER(SEARCH("V-Sherwood:", O19)), "Arkansas",ISNUMBER(SEARCH("V-WV:", O19)), "Texas",ISNUMBER(SEARCH("HealthCARE Express - Richmond Road", O19)), "Texas",ISNUMBER(SEARCH("HealthCARE Express - Occupational Medicine", O19)), "Texas")</f>
        <v>Texas</v>
      </c>
      <c r="Q19" t="s">
        <v>841</v>
      </c>
      <c r="R19" t="s">
        <v>882</v>
      </c>
      <c r="S19" t="s">
        <v>156</v>
      </c>
      <c r="T19" t="s">
        <v>842</v>
      </c>
      <c r="AF19" t="str" cm="1">
        <f t="array" ref="AF19">IF(SUMPRODUCT(--ISNUMBER(SEARCH("992",T19:AE19)))&gt;0, "E&amp;M", "No E&amp;M")</f>
        <v>E&amp;M</v>
      </c>
      <c r="AG19" t="str">
        <f t="shared" si="3"/>
        <v>99213</v>
      </c>
      <c r="AH19" t="str">
        <f t="shared" si="4"/>
        <v>Estd. Patient</v>
      </c>
      <c r="AI19" t="str">
        <f t="shared" si="2"/>
        <v>Workers Comp</v>
      </c>
    </row>
    <row r="20" spans="1:35" x14ac:dyDescent="0.3">
      <c r="A20" t="s">
        <v>159</v>
      </c>
      <c r="B20" t="s">
        <v>129</v>
      </c>
      <c r="C20" t="s">
        <v>28</v>
      </c>
      <c r="D20" t="s">
        <v>160</v>
      </c>
      <c r="E20" t="s">
        <v>161</v>
      </c>
      <c r="F20" t="s">
        <v>19</v>
      </c>
      <c r="G20" t="s">
        <v>162</v>
      </c>
      <c r="H20" t="s">
        <v>22</v>
      </c>
      <c r="I20" t="s">
        <v>22</v>
      </c>
      <c r="J20" t="s">
        <v>22</v>
      </c>
      <c r="K20" t="s">
        <v>162</v>
      </c>
      <c r="L20" t="s">
        <v>163</v>
      </c>
      <c r="M20" t="s">
        <v>33</v>
      </c>
      <c r="N20" t="s">
        <v>164</v>
      </c>
      <c r="O20" t="s">
        <v>846</v>
      </c>
      <c r="P20" t="str" cm="1">
        <f t="array" ref="P20">_xlfn.IFS(ISNUMBER(SEARCH("AEIC:", O20)), "Arkansas",ISNUMBER(SEARCH("STM:", O20)), "Texas",ISNUMBER(SEARCH("BILLING:", O20)), "Texas",ISNUMBER(SEARCH("AM:", O20)), "Texas",ISNUMBER(SEARCH("ARBlvd:", O20)), "Arkansas",ISNUMBER(SEARCH("Atlanta:", O20)), "Texas",ISNUMBER(SEARCH("Blanchard:", O20)), "Louisiana",ISNUMBER(SEARCH("Bryant:", O20)), "Arkansas",ISNUMBER(SEARCH("Choctaw:", O20)), "Oklahoma",ISNUMBER(SEARCH("Choc Allgy:", O20)), "Oklahoma",ISNUMBER(SEARCH("DeQueen:", O20)), "Arkansas",ISNUMBER(SEARCH("Edmond:", O20)), "Oklahoma",ISNUMBER(SEARCH("Edmd Aller:", O20)), "Oklahoma",ISNUMBER(SEARCH("Imaging:", O20)), "Texas",ISNUMBER(SEARCH("Longview:", O20)), "Texas",ISNUMBER(SEARCH("Marshall:", O20)), "Texas",ISNUMBER(SEARCH("Mar Allerg:", O20)), "Texas",ISNUMBER(SEARCH("Maumelle:", O20)), "Arkansas",ISNUMBER(SEARCH("MWC:", O20)), "Oklahoma",ISNUMBER(SEARCH("MWC Allgy:", O20)), "Oklahoma",ISNUMBER(SEARCH("Moore:", O20)), "Oklahoma",ISNUMBER(SEARCH("MooreAllgy:", O20)), "Oklahoma",ISNUMBER(SEARCH("MtPleasant:", O20)), "Texas",ISNUMBER(SEARCH("OccOffsite:", O20)), "Texas",ISNUMBER(SEARCH("Pain Mgmt:", O20)), "Texas",ISNUMBER(SEARCH("Paris:", O20)), "Texas",ISNUMBER(SEARCH("PT:", O20)), "Texas",ISNUMBER(SEARCH("RR Allergy:", O20)), "Texas",ISNUMBER(SEARCH("Sherwood:", O20)), "Arkansas",ISNUMBER(SEARCH("WV:", O20)), "Texas",ISNUMBER(SEARCH("Nur-Home:", O20)), "Texas",ISNUMBER(SEARCH("THC:", O20)), "Texas",ISNUMBER(SEARCH("WVTC:", O20)), "Texas",ISNUMBER(SEARCH("TSC:", O20)), "Texas",ISNUMBER(SEARCH("V-AR Blvd:", O20)), "Arkansas",ISNUMBER(SEARCH("V-Maumelle:", O20)), "Arkansas",ISNUMBER(SEARCH("V-Atlanta:", O20)), "Texas",ISNUMBER(SEARCH("VBlanchard:", O20)), "Louisiana",ISNUMBER(SEARCH("V-Bryant:", O20)), "Arkansas",ISNUMBER(SEARCH("V-Choctaw:", O20)), "Oklahoma",ISNUMBER(SEARCH("V-DeQueen:", O20)), "Arkansas",ISNUMBER(SEARCH("V-Longview:", O20)), "Texas",ISNUMBER(SEARCH("V-Marshall:", O20)), "Texas",ISNUMBER(SEARCH("V-MWC:", O20)), "Oklahoma",ISNUMBER(SEARCH("V-Moore:", O20)), "Oklahoma",ISNUMBER(SEARCH("V-MP:", O20)), "Texas",ISNUMBER(SEARCH("V-Edmond:", O20)), "Oklahoma",ISNUMBER(SEARCH("V-Paris:", O20)), "Texas",ISNUMBER(SEARCH("V-RR:", O20)), "Texas",ISNUMBER(SEARCH("V-Sherwood:", O20)), "Arkansas",ISNUMBER(SEARCH("V-WV:", O20)), "Texas",ISNUMBER(SEARCH("HealthCARE Express - Richmond Road", O20)), "Texas",ISNUMBER(SEARCH("HealthCARE Express - Occupational Medicine", O20)), "Texas")</f>
        <v>Texas</v>
      </c>
      <c r="Q20" t="s">
        <v>841</v>
      </c>
      <c r="R20" t="s">
        <v>892</v>
      </c>
      <c r="S20" t="s">
        <v>161</v>
      </c>
      <c r="T20" t="s">
        <v>893</v>
      </c>
      <c r="V20" t="s">
        <v>895</v>
      </c>
      <c r="AF20" t="str" cm="1">
        <f t="array" ref="AF20">IF(SUMPRODUCT(--ISNUMBER(SEARCH("992",T20:AE20)))&gt;0, "E&amp;M", "No E&amp;M")</f>
        <v>E&amp;M</v>
      </c>
      <c r="AG20" t="str">
        <f t="shared" si="3"/>
        <v>99203</v>
      </c>
      <c r="AH20" t="str">
        <f t="shared" si="4"/>
        <v>New Patient</v>
      </c>
      <c r="AI20" t="str">
        <f t="shared" si="2"/>
        <v>Texas/La/DQ/Ark Blvd</v>
      </c>
    </row>
    <row r="21" spans="1:35" x14ac:dyDescent="0.3">
      <c r="A21" t="s">
        <v>165</v>
      </c>
      <c r="B21" t="s">
        <v>129</v>
      </c>
      <c r="C21" t="s">
        <v>28</v>
      </c>
      <c r="D21" t="s">
        <v>166</v>
      </c>
      <c r="E21" t="s">
        <v>167</v>
      </c>
      <c r="F21" t="s">
        <v>19</v>
      </c>
      <c r="G21" t="s">
        <v>162</v>
      </c>
      <c r="H21" t="s">
        <v>22</v>
      </c>
      <c r="I21" t="s">
        <v>22</v>
      </c>
      <c r="J21" t="s">
        <v>22</v>
      </c>
      <c r="K21" t="s">
        <v>162</v>
      </c>
      <c r="L21" t="s">
        <v>168</v>
      </c>
      <c r="M21" t="s">
        <v>33</v>
      </c>
      <c r="N21" t="s">
        <v>166</v>
      </c>
      <c r="O21" t="s">
        <v>846</v>
      </c>
      <c r="P21" t="str" cm="1">
        <f t="array" ref="P21">_xlfn.IFS(ISNUMBER(SEARCH("AEIC:", O21)), "Arkansas",ISNUMBER(SEARCH("STM:", O21)), "Texas",ISNUMBER(SEARCH("BILLING:", O21)), "Texas",ISNUMBER(SEARCH("AM:", O21)), "Texas",ISNUMBER(SEARCH("ARBlvd:", O21)), "Arkansas",ISNUMBER(SEARCH("Atlanta:", O21)), "Texas",ISNUMBER(SEARCH("Blanchard:", O21)), "Louisiana",ISNUMBER(SEARCH("Bryant:", O21)), "Arkansas",ISNUMBER(SEARCH("Choctaw:", O21)), "Oklahoma",ISNUMBER(SEARCH("Choc Allgy:", O21)), "Oklahoma",ISNUMBER(SEARCH("DeQueen:", O21)), "Arkansas",ISNUMBER(SEARCH("Edmond:", O21)), "Oklahoma",ISNUMBER(SEARCH("Edmd Aller:", O21)), "Oklahoma",ISNUMBER(SEARCH("Imaging:", O21)), "Texas",ISNUMBER(SEARCH("Longview:", O21)), "Texas",ISNUMBER(SEARCH("Marshall:", O21)), "Texas",ISNUMBER(SEARCH("Mar Allerg:", O21)), "Texas",ISNUMBER(SEARCH("Maumelle:", O21)), "Arkansas",ISNUMBER(SEARCH("MWC:", O21)), "Oklahoma",ISNUMBER(SEARCH("MWC Allgy:", O21)), "Oklahoma",ISNUMBER(SEARCH("Moore:", O21)), "Oklahoma",ISNUMBER(SEARCH("MooreAllgy:", O21)), "Oklahoma",ISNUMBER(SEARCH("MtPleasant:", O21)), "Texas",ISNUMBER(SEARCH("OccOffsite:", O21)), "Texas",ISNUMBER(SEARCH("Pain Mgmt:", O21)), "Texas",ISNUMBER(SEARCH("Paris:", O21)), "Texas",ISNUMBER(SEARCH("PT:", O21)), "Texas",ISNUMBER(SEARCH("RR Allergy:", O21)), "Texas",ISNUMBER(SEARCH("Sherwood:", O21)), "Arkansas",ISNUMBER(SEARCH("WV:", O21)), "Texas",ISNUMBER(SEARCH("Nur-Home:", O21)), "Texas",ISNUMBER(SEARCH("THC:", O21)), "Texas",ISNUMBER(SEARCH("WVTC:", O21)), "Texas",ISNUMBER(SEARCH("TSC:", O21)), "Texas",ISNUMBER(SEARCH("V-AR Blvd:", O21)), "Arkansas",ISNUMBER(SEARCH("V-Maumelle:", O21)), "Arkansas",ISNUMBER(SEARCH("V-Atlanta:", O21)), "Texas",ISNUMBER(SEARCH("VBlanchard:", O21)), "Louisiana",ISNUMBER(SEARCH("V-Bryant:", O21)), "Arkansas",ISNUMBER(SEARCH("V-Choctaw:", O21)), "Oklahoma",ISNUMBER(SEARCH("V-DeQueen:", O21)), "Arkansas",ISNUMBER(SEARCH("V-Longview:", O21)), "Texas",ISNUMBER(SEARCH("V-Marshall:", O21)), "Texas",ISNUMBER(SEARCH("V-MWC:", O21)), "Oklahoma",ISNUMBER(SEARCH("V-Moore:", O21)), "Oklahoma",ISNUMBER(SEARCH("V-MP:", O21)), "Texas",ISNUMBER(SEARCH("V-Edmond:", O21)), "Oklahoma",ISNUMBER(SEARCH("V-Paris:", O21)), "Texas",ISNUMBER(SEARCH("V-RR:", O21)), "Texas",ISNUMBER(SEARCH("V-Sherwood:", O21)), "Arkansas",ISNUMBER(SEARCH("V-WV:", O21)), "Texas",ISNUMBER(SEARCH("HealthCARE Express - Richmond Road", O21)), "Texas",ISNUMBER(SEARCH("HealthCARE Express - Occupational Medicine", O21)), "Texas")</f>
        <v>Texas</v>
      </c>
      <c r="Q21" t="s">
        <v>841</v>
      </c>
      <c r="R21" t="s">
        <v>892</v>
      </c>
      <c r="S21" t="s">
        <v>167</v>
      </c>
      <c r="T21" t="s">
        <v>893</v>
      </c>
      <c r="U21" t="s">
        <v>894</v>
      </c>
      <c r="V21" t="s">
        <v>895</v>
      </c>
      <c r="AF21" t="str" cm="1">
        <f t="array" ref="AF21">IF(SUMPRODUCT(--ISNUMBER(SEARCH("992",T21:AE21)))&gt;0, "E&amp;M", "No E&amp;M")</f>
        <v>E&amp;M</v>
      </c>
      <c r="AG21" t="str">
        <f t="shared" si="3"/>
        <v>99203</v>
      </c>
      <c r="AH21" t="str">
        <f t="shared" si="4"/>
        <v>New Patient</v>
      </c>
      <c r="AI21" t="str">
        <f t="shared" si="2"/>
        <v>Texas/La/DQ/Ark Blvd</v>
      </c>
    </row>
    <row r="22" spans="1:35" x14ac:dyDescent="0.3">
      <c r="A22" t="s">
        <v>169</v>
      </c>
      <c r="B22" t="s">
        <v>129</v>
      </c>
      <c r="C22" t="s">
        <v>170</v>
      </c>
      <c r="D22" t="s">
        <v>171</v>
      </c>
      <c r="E22" t="s">
        <v>86</v>
      </c>
      <c r="F22" t="s">
        <v>19</v>
      </c>
      <c r="G22" t="s">
        <v>134</v>
      </c>
      <c r="H22" t="s">
        <v>172</v>
      </c>
      <c r="I22" t="s">
        <v>22</v>
      </c>
      <c r="J22" t="s">
        <v>22</v>
      </c>
      <c r="K22" t="s">
        <v>173</v>
      </c>
      <c r="L22" t="s">
        <v>174</v>
      </c>
      <c r="M22" t="s">
        <v>175</v>
      </c>
      <c r="N22" t="s">
        <v>171</v>
      </c>
      <c r="O22" t="s">
        <v>896</v>
      </c>
      <c r="P22" t="str" cm="1">
        <f t="array" ref="P22">_xlfn.IFS(ISNUMBER(SEARCH("AEIC:", O22)), "Arkansas",ISNUMBER(SEARCH("STM:", O22)), "Texas",ISNUMBER(SEARCH("BILLING:", O22)), "Texas",ISNUMBER(SEARCH("AM:", O22)), "Texas",ISNUMBER(SEARCH("ARBlvd:", O22)), "Arkansas",ISNUMBER(SEARCH("Atlanta:", O22)), "Texas",ISNUMBER(SEARCH("Blanchard:", O22)), "Louisiana",ISNUMBER(SEARCH("Bryant:", O22)), "Arkansas",ISNUMBER(SEARCH("Choctaw:", O22)), "Oklahoma",ISNUMBER(SEARCH("Choc Allgy:", O22)), "Oklahoma",ISNUMBER(SEARCH("DeQueen:", O22)), "Arkansas",ISNUMBER(SEARCH("Edmond:", O22)), "Oklahoma",ISNUMBER(SEARCH("Edmd Aller:", O22)), "Oklahoma",ISNUMBER(SEARCH("Imaging:", O22)), "Texas",ISNUMBER(SEARCH("Longview:", O22)), "Texas",ISNUMBER(SEARCH("Marshall:", O22)), "Texas",ISNUMBER(SEARCH("Mar Allerg:", O22)), "Texas",ISNUMBER(SEARCH("Maumelle:", O22)), "Arkansas",ISNUMBER(SEARCH("MWC:", O22)), "Oklahoma",ISNUMBER(SEARCH("MWC Allgy:", O22)), "Oklahoma",ISNUMBER(SEARCH("Moore:", O22)), "Oklahoma",ISNUMBER(SEARCH("MooreAllgy:", O22)), "Oklahoma",ISNUMBER(SEARCH("MtPleasant:", O22)), "Texas",ISNUMBER(SEARCH("OccOffsite:", O22)), "Texas",ISNUMBER(SEARCH("Pain Mgmt:", O22)), "Texas",ISNUMBER(SEARCH("Paris:", O22)), "Texas",ISNUMBER(SEARCH("PT:", O22)), "Texas",ISNUMBER(SEARCH("RR Allergy:", O22)), "Texas",ISNUMBER(SEARCH("Sherwood:", O22)), "Arkansas",ISNUMBER(SEARCH("WV:", O22)), "Texas",ISNUMBER(SEARCH("Nur-Home:", O22)), "Texas",ISNUMBER(SEARCH("THC:", O22)), "Texas",ISNUMBER(SEARCH("WVTC:", O22)), "Texas",ISNUMBER(SEARCH("TSC:", O22)), "Texas",ISNUMBER(SEARCH("V-AR Blvd:", O22)), "Arkansas",ISNUMBER(SEARCH("V-Maumelle:", O22)), "Arkansas",ISNUMBER(SEARCH("V-Atlanta:", O22)), "Texas",ISNUMBER(SEARCH("VBlanchard:", O22)), "Louisiana",ISNUMBER(SEARCH("V-Bryant:", O22)), "Arkansas",ISNUMBER(SEARCH("V-Choctaw:", O22)), "Oklahoma",ISNUMBER(SEARCH("V-DeQueen:", O22)), "Arkansas",ISNUMBER(SEARCH("V-Longview:", O22)), "Texas",ISNUMBER(SEARCH("V-Marshall:", O22)), "Texas",ISNUMBER(SEARCH("V-MWC:", O22)), "Oklahoma",ISNUMBER(SEARCH("V-Moore:", O22)), "Oklahoma",ISNUMBER(SEARCH("V-MP:", O22)), "Texas",ISNUMBER(SEARCH("V-Edmond:", O22)), "Oklahoma",ISNUMBER(SEARCH("V-Paris:", O22)), "Texas",ISNUMBER(SEARCH("V-RR:", O22)), "Texas",ISNUMBER(SEARCH("V-Sherwood:", O22)), "Arkansas",ISNUMBER(SEARCH("V-WV:", O22)), "Texas",ISNUMBER(SEARCH("HealthCARE Express - Richmond Road", O22)), "Texas",ISNUMBER(SEARCH("HealthCARE Express - Occupational Medicine", O22)), "Texas")</f>
        <v>Texas</v>
      </c>
      <c r="Q22" t="s">
        <v>869</v>
      </c>
      <c r="R22" t="s">
        <v>876</v>
      </c>
      <c r="S22" t="s">
        <v>86</v>
      </c>
      <c r="T22" t="s">
        <v>848</v>
      </c>
      <c r="U22" t="s">
        <v>897</v>
      </c>
      <c r="V22" t="s">
        <v>873</v>
      </c>
      <c r="AF22" t="str" cm="1">
        <f t="array" ref="AF22">IF(SUMPRODUCT(--ISNUMBER(SEARCH("992",T22:AE22)))&gt;0, "E&amp;M", "No E&amp;M")</f>
        <v>E&amp;M</v>
      </c>
      <c r="AG22" t="str">
        <f t="shared" si="3"/>
        <v>99214</v>
      </c>
      <c r="AH22" t="str">
        <f t="shared" si="4"/>
        <v>Estd. Patient</v>
      </c>
      <c r="AI22" t="str">
        <f t="shared" si="2"/>
        <v>-</v>
      </c>
    </row>
    <row r="23" spans="1:35" x14ac:dyDescent="0.3">
      <c r="A23" t="s">
        <v>176</v>
      </c>
      <c r="B23" t="s">
        <v>177</v>
      </c>
      <c r="C23" t="s">
        <v>84</v>
      </c>
      <c r="D23" t="s">
        <v>178</v>
      </c>
      <c r="E23" t="s">
        <v>179</v>
      </c>
      <c r="F23" t="s">
        <v>19</v>
      </c>
      <c r="G23" t="s">
        <v>180</v>
      </c>
      <c r="H23" t="s">
        <v>22</v>
      </c>
      <c r="I23" t="s">
        <v>22</v>
      </c>
      <c r="J23" t="s">
        <v>22</v>
      </c>
      <c r="K23" t="s">
        <v>180</v>
      </c>
      <c r="L23" t="s">
        <v>181</v>
      </c>
      <c r="M23" t="s">
        <v>91</v>
      </c>
      <c r="N23" t="s">
        <v>182</v>
      </c>
      <c r="O23" t="s">
        <v>871</v>
      </c>
      <c r="P23" t="str" cm="1">
        <f t="array" ref="P23">_xlfn.IFS(ISNUMBER(SEARCH("AEIC:", O23)), "Arkansas",ISNUMBER(SEARCH("STM:", O23)), "Texas",ISNUMBER(SEARCH("BILLING:", O23)), "Texas",ISNUMBER(SEARCH("AM:", O23)), "Texas",ISNUMBER(SEARCH("ARBlvd:", O23)), "Arkansas",ISNUMBER(SEARCH("Atlanta:", O23)), "Texas",ISNUMBER(SEARCH("Blanchard:", O23)), "Louisiana",ISNUMBER(SEARCH("Bryant:", O23)), "Arkansas",ISNUMBER(SEARCH("Choctaw:", O23)), "Oklahoma",ISNUMBER(SEARCH("Choc Allgy:", O23)), "Oklahoma",ISNUMBER(SEARCH("DeQueen:", O23)), "Arkansas",ISNUMBER(SEARCH("Edmond:", O23)), "Oklahoma",ISNUMBER(SEARCH("Edmd Aller:", O23)), "Oklahoma",ISNUMBER(SEARCH("Imaging:", O23)), "Texas",ISNUMBER(SEARCH("Longview:", O23)), "Texas",ISNUMBER(SEARCH("Marshall:", O23)), "Texas",ISNUMBER(SEARCH("Mar Allerg:", O23)), "Texas",ISNUMBER(SEARCH("Maumelle:", O23)), "Arkansas",ISNUMBER(SEARCH("MWC:", O23)), "Oklahoma",ISNUMBER(SEARCH("MWC Allgy:", O23)), "Oklahoma",ISNUMBER(SEARCH("Moore:", O23)), "Oklahoma",ISNUMBER(SEARCH("MooreAllgy:", O23)), "Oklahoma",ISNUMBER(SEARCH("MtPleasant:", O23)), "Texas",ISNUMBER(SEARCH("OccOffsite:", O23)), "Texas",ISNUMBER(SEARCH("Pain Mgmt:", O23)), "Texas",ISNUMBER(SEARCH("Paris:", O23)), "Texas",ISNUMBER(SEARCH("PT:", O23)), "Texas",ISNUMBER(SEARCH("RR Allergy:", O23)), "Texas",ISNUMBER(SEARCH("Sherwood:", O23)), "Arkansas",ISNUMBER(SEARCH("WV:", O23)), "Texas",ISNUMBER(SEARCH("Nur-Home:", O23)), "Texas",ISNUMBER(SEARCH("THC:", O23)), "Texas",ISNUMBER(SEARCH("WVTC:", O23)), "Texas",ISNUMBER(SEARCH("TSC:", O23)), "Texas",ISNUMBER(SEARCH("V-AR Blvd:", O23)), "Arkansas",ISNUMBER(SEARCH("V-Maumelle:", O23)), "Arkansas",ISNUMBER(SEARCH("V-Atlanta:", O23)), "Texas",ISNUMBER(SEARCH("VBlanchard:", O23)), "Louisiana",ISNUMBER(SEARCH("V-Bryant:", O23)), "Arkansas",ISNUMBER(SEARCH("V-Choctaw:", O23)), "Oklahoma",ISNUMBER(SEARCH("V-DeQueen:", O23)), "Arkansas",ISNUMBER(SEARCH("V-Longview:", O23)), "Texas",ISNUMBER(SEARCH("V-Marshall:", O23)), "Texas",ISNUMBER(SEARCH("V-MWC:", O23)), "Oklahoma",ISNUMBER(SEARCH("V-Moore:", O23)), "Oklahoma",ISNUMBER(SEARCH("V-MP:", O23)), "Texas",ISNUMBER(SEARCH("V-Edmond:", O23)), "Oklahoma",ISNUMBER(SEARCH("V-Paris:", O23)), "Texas",ISNUMBER(SEARCH("V-RR:", O23)), "Texas",ISNUMBER(SEARCH("V-Sherwood:", O23)), "Arkansas",ISNUMBER(SEARCH("V-WV:", O23)), "Texas",ISNUMBER(SEARCH("HealthCARE Express - Richmond Road", O23)), "Texas",ISNUMBER(SEARCH("HealthCARE Express - Occupational Medicine", O23)), "Texas")</f>
        <v>Oklahoma</v>
      </c>
      <c r="Q23" t="s">
        <v>841</v>
      </c>
      <c r="R23" t="s">
        <v>840</v>
      </c>
      <c r="S23" t="s">
        <v>179</v>
      </c>
      <c r="T23" t="s">
        <v>848</v>
      </c>
      <c r="U23" t="s">
        <v>887</v>
      </c>
      <c r="V23" t="s">
        <v>873</v>
      </c>
      <c r="W23" t="s">
        <v>888</v>
      </c>
      <c r="X23" t="s">
        <v>888</v>
      </c>
      <c r="Y23" t="s">
        <v>852</v>
      </c>
      <c r="AF23" t="str" cm="1">
        <f t="array" ref="AF23">IF(SUMPRODUCT(--ISNUMBER(SEARCH("992",T23:AE23)))&gt;0, "E&amp;M", "No E&amp;M")</f>
        <v>E&amp;M</v>
      </c>
      <c r="AG23" t="str">
        <f t="shared" si="3"/>
        <v>99214</v>
      </c>
      <c r="AH23" t="str">
        <f t="shared" si="4"/>
        <v>Estd. Patient</v>
      </c>
      <c r="AI23" t="str">
        <f t="shared" si="2"/>
        <v>Oklahoma</v>
      </c>
    </row>
    <row r="24" spans="1:35" x14ac:dyDescent="0.3">
      <c r="A24" t="s">
        <v>183</v>
      </c>
      <c r="B24" t="s">
        <v>177</v>
      </c>
      <c r="C24" t="s">
        <v>170</v>
      </c>
      <c r="D24" t="s">
        <v>184</v>
      </c>
      <c r="E24" t="s">
        <v>185</v>
      </c>
      <c r="F24" t="s">
        <v>19</v>
      </c>
      <c r="G24" t="s">
        <v>186</v>
      </c>
      <c r="H24" t="s">
        <v>187</v>
      </c>
      <c r="I24" t="s">
        <v>22</v>
      </c>
      <c r="J24" t="s">
        <v>22</v>
      </c>
      <c r="K24" t="s">
        <v>188</v>
      </c>
      <c r="L24" t="s">
        <v>189</v>
      </c>
      <c r="M24" t="s">
        <v>175</v>
      </c>
      <c r="N24" t="s">
        <v>190</v>
      </c>
      <c r="O24" t="s">
        <v>896</v>
      </c>
      <c r="P24" t="str" cm="1">
        <f t="array" ref="P24">_xlfn.IFS(ISNUMBER(SEARCH("AEIC:", O24)), "Arkansas",ISNUMBER(SEARCH("STM:", O24)), "Texas",ISNUMBER(SEARCH("BILLING:", O24)), "Texas",ISNUMBER(SEARCH("AM:", O24)), "Texas",ISNUMBER(SEARCH("ARBlvd:", O24)), "Arkansas",ISNUMBER(SEARCH("Atlanta:", O24)), "Texas",ISNUMBER(SEARCH("Blanchard:", O24)), "Louisiana",ISNUMBER(SEARCH("Bryant:", O24)), "Arkansas",ISNUMBER(SEARCH("Choctaw:", O24)), "Oklahoma",ISNUMBER(SEARCH("Choc Allgy:", O24)), "Oklahoma",ISNUMBER(SEARCH("DeQueen:", O24)), "Arkansas",ISNUMBER(SEARCH("Edmond:", O24)), "Oklahoma",ISNUMBER(SEARCH("Edmd Aller:", O24)), "Oklahoma",ISNUMBER(SEARCH("Imaging:", O24)), "Texas",ISNUMBER(SEARCH("Longview:", O24)), "Texas",ISNUMBER(SEARCH("Marshall:", O24)), "Texas",ISNUMBER(SEARCH("Mar Allerg:", O24)), "Texas",ISNUMBER(SEARCH("Maumelle:", O24)), "Arkansas",ISNUMBER(SEARCH("MWC:", O24)), "Oklahoma",ISNUMBER(SEARCH("MWC Allgy:", O24)), "Oklahoma",ISNUMBER(SEARCH("Moore:", O24)), "Oklahoma",ISNUMBER(SEARCH("MooreAllgy:", O24)), "Oklahoma",ISNUMBER(SEARCH("MtPleasant:", O24)), "Texas",ISNUMBER(SEARCH("OccOffsite:", O24)), "Texas",ISNUMBER(SEARCH("Pain Mgmt:", O24)), "Texas",ISNUMBER(SEARCH("Paris:", O24)), "Texas",ISNUMBER(SEARCH("PT:", O24)), "Texas",ISNUMBER(SEARCH("RR Allergy:", O24)), "Texas",ISNUMBER(SEARCH("Sherwood:", O24)), "Arkansas",ISNUMBER(SEARCH("WV:", O24)), "Texas",ISNUMBER(SEARCH("Nur-Home:", O24)), "Texas",ISNUMBER(SEARCH("THC:", O24)), "Texas",ISNUMBER(SEARCH("WVTC:", O24)), "Texas",ISNUMBER(SEARCH("TSC:", O24)), "Texas",ISNUMBER(SEARCH("V-AR Blvd:", O24)), "Arkansas",ISNUMBER(SEARCH("V-Maumelle:", O24)), "Arkansas",ISNUMBER(SEARCH("V-Atlanta:", O24)), "Texas",ISNUMBER(SEARCH("VBlanchard:", O24)), "Louisiana",ISNUMBER(SEARCH("V-Bryant:", O24)), "Arkansas",ISNUMBER(SEARCH("V-Choctaw:", O24)), "Oklahoma",ISNUMBER(SEARCH("V-DeQueen:", O24)), "Arkansas",ISNUMBER(SEARCH("V-Longview:", O24)), "Texas",ISNUMBER(SEARCH("V-Marshall:", O24)), "Texas",ISNUMBER(SEARCH("V-MWC:", O24)), "Oklahoma",ISNUMBER(SEARCH("V-Moore:", O24)), "Oklahoma",ISNUMBER(SEARCH("V-MP:", O24)), "Texas",ISNUMBER(SEARCH("V-Edmond:", O24)), "Oklahoma",ISNUMBER(SEARCH("V-Paris:", O24)), "Texas",ISNUMBER(SEARCH("V-RR:", O24)), "Texas",ISNUMBER(SEARCH("V-Sherwood:", O24)), "Arkansas",ISNUMBER(SEARCH("V-WV:", O24)), "Texas",ISNUMBER(SEARCH("HealthCARE Express - Richmond Road", O24)), "Texas",ISNUMBER(SEARCH("HealthCARE Express - Occupational Medicine", O24)), "Texas")</f>
        <v>Texas</v>
      </c>
      <c r="Q24" t="s">
        <v>841</v>
      </c>
      <c r="R24" t="s">
        <v>872</v>
      </c>
      <c r="S24" t="s">
        <v>185</v>
      </c>
      <c r="T24" t="s">
        <v>898</v>
      </c>
      <c r="U24" t="s">
        <v>844</v>
      </c>
      <c r="V24" t="s">
        <v>889</v>
      </c>
      <c r="W24" t="s">
        <v>875</v>
      </c>
      <c r="X24" t="s">
        <v>861</v>
      </c>
      <c r="Y24" t="s">
        <v>845</v>
      </c>
      <c r="AF24" t="str" cm="1">
        <f t="array" ref="AF24">IF(SUMPRODUCT(--ISNUMBER(SEARCH("992",T24:AE24)))&gt;0, "E&amp;M", "No E&amp;M")</f>
        <v>No E&amp;M</v>
      </c>
      <c r="AG24" t="str">
        <f t="shared" si="3"/>
        <v>No E&amp;M</v>
      </c>
      <c r="AH24" t="str">
        <f t="shared" si="4"/>
        <v>No E&amp;M</v>
      </c>
      <c r="AI24" t="str">
        <f t="shared" si="2"/>
        <v>-</v>
      </c>
    </row>
    <row r="25" spans="1:35" x14ac:dyDescent="0.3">
      <c r="A25" t="s">
        <v>191</v>
      </c>
      <c r="B25" t="s">
        <v>177</v>
      </c>
      <c r="C25" t="s">
        <v>192</v>
      </c>
      <c r="D25" t="s">
        <v>193</v>
      </c>
      <c r="E25" t="s">
        <v>39</v>
      </c>
      <c r="F25" t="s">
        <v>19</v>
      </c>
      <c r="G25" t="s">
        <v>194</v>
      </c>
      <c r="H25" t="s">
        <v>195</v>
      </c>
      <c r="I25" t="s">
        <v>22</v>
      </c>
      <c r="J25" t="s">
        <v>22</v>
      </c>
      <c r="K25" t="s">
        <v>196</v>
      </c>
      <c r="L25" t="s">
        <v>197</v>
      </c>
      <c r="M25" t="s">
        <v>198</v>
      </c>
      <c r="N25" t="s">
        <v>199</v>
      </c>
      <c r="O25" t="s">
        <v>858</v>
      </c>
      <c r="P25" t="str" cm="1">
        <f t="array" ref="P25">_xlfn.IFS(ISNUMBER(SEARCH("AEIC:", O25)), "Arkansas",ISNUMBER(SEARCH("STM:", O25)), "Texas",ISNUMBER(SEARCH("BILLING:", O25)), "Texas",ISNUMBER(SEARCH("AM:", O25)), "Texas",ISNUMBER(SEARCH("ARBlvd:", O25)), "Arkansas",ISNUMBER(SEARCH("Atlanta:", O25)), "Texas",ISNUMBER(SEARCH("Blanchard:", O25)), "Louisiana",ISNUMBER(SEARCH("Bryant:", O25)), "Arkansas",ISNUMBER(SEARCH("Choctaw:", O25)), "Oklahoma",ISNUMBER(SEARCH("Choc Allgy:", O25)), "Oklahoma",ISNUMBER(SEARCH("DeQueen:", O25)), "Arkansas",ISNUMBER(SEARCH("Edmond:", O25)), "Oklahoma",ISNUMBER(SEARCH("Edmd Aller:", O25)), "Oklahoma",ISNUMBER(SEARCH("Imaging:", O25)), "Texas",ISNUMBER(SEARCH("Longview:", O25)), "Texas",ISNUMBER(SEARCH("Marshall:", O25)), "Texas",ISNUMBER(SEARCH("Mar Allerg:", O25)), "Texas",ISNUMBER(SEARCH("Maumelle:", O25)), "Arkansas",ISNUMBER(SEARCH("MWC:", O25)), "Oklahoma",ISNUMBER(SEARCH("MWC Allgy:", O25)), "Oklahoma",ISNUMBER(SEARCH("Moore:", O25)), "Oklahoma",ISNUMBER(SEARCH("MooreAllgy:", O25)), "Oklahoma",ISNUMBER(SEARCH("MtPleasant:", O25)), "Texas",ISNUMBER(SEARCH("OccOffsite:", O25)), "Texas",ISNUMBER(SEARCH("Pain Mgmt:", O25)), "Texas",ISNUMBER(SEARCH("Paris:", O25)), "Texas",ISNUMBER(SEARCH("PT:", O25)), "Texas",ISNUMBER(SEARCH("RR Allergy:", O25)), "Texas",ISNUMBER(SEARCH("Sherwood:", O25)), "Arkansas",ISNUMBER(SEARCH("WV:", O25)), "Texas",ISNUMBER(SEARCH("Nur-Home:", O25)), "Texas",ISNUMBER(SEARCH("THC:", O25)), "Texas",ISNUMBER(SEARCH("WVTC:", O25)), "Texas",ISNUMBER(SEARCH("TSC:", O25)), "Texas",ISNUMBER(SEARCH("V-AR Blvd:", O25)), "Arkansas",ISNUMBER(SEARCH("V-Maumelle:", O25)), "Arkansas",ISNUMBER(SEARCH("V-Atlanta:", O25)), "Texas",ISNUMBER(SEARCH("VBlanchard:", O25)), "Louisiana",ISNUMBER(SEARCH("V-Bryant:", O25)), "Arkansas",ISNUMBER(SEARCH("V-Choctaw:", O25)), "Oklahoma",ISNUMBER(SEARCH("V-DeQueen:", O25)), "Arkansas",ISNUMBER(SEARCH("V-Longview:", O25)), "Texas",ISNUMBER(SEARCH("V-Marshall:", O25)), "Texas",ISNUMBER(SEARCH("V-MWC:", O25)), "Oklahoma",ISNUMBER(SEARCH("V-Moore:", O25)), "Oklahoma",ISNUMBER(SEARCH("V-MP:", O25)), "Texas",ISNUMBER(SEARCH("V-Edmond:", O25)), "Oklahoma",ISNUMBER(SEARCH("V-Paris:", O25)), "Texas",ISNUMBER(SEARCH("V-RR:", O25)), "Texas",ISNUMBER(SEARCH("V-Sherwood:", O25)), "Arkansas",ISNUMBER(SEARCH("V-WV:", O25)), "Texas",ISNUMBER(SEARCH("HealthCARE Express - Richmond Road", O25)), "Texas",ISNUMBER(SEARCH("HealthCARE Express - Occupational Medicine", O25)), "Texas")</f>
        <v>Texas</v>
      </c>
      <c r="Q25" t="s">
        <v>841</v>
      </c>
      <c r="R25" t="s">
        <v>856</v>
      </c>
      <c r="S25" t="s">
        <v>39</v>
      </c>
      <c r="T25" t="s">
        <v>857</v>
      </c>
      <c r="U25" t="s">
        <v>861</v>
      </c>
      <c r="V25" t="s">
        <v>863</v>
      </c>
      <c r="W25" t="s">
        <v>864</v>
      </c>
      <c r="X25" t="s">
        <v>865</v>
      </c>
      <c r="Y25" t="s">
        <v>867</v>
      </c>
      <c r="AF25" t="str" cm="1">
        <f t="array" ref="AF25">IF(SUMPRODUCT(--ISNUMBER(SEARCH("992",T25:AE25)))&gt;0, "E&amp;M", "No E&amp;M")</f>
        <v>E&amp;M</v>
      </c>
      <c r="AG25" t="str">
        <f t="shared" si="3"/>
        <v>99204</v>
      </c>
      <c r="AH25" t="str">
        <f t="shared" si="4"/>
        <v>New Patient</v>
      </c>
      <c r="AI25" t="str">
        <f t="shared" si="2"/>
        <v>Texas/La/DQ/Ark Blvd</v>
      </c>
    </row>
    <row r="26" spans="1:35" x14ac:dyDescent="0.3">
      <c r="A26" t="s">
        <v>200</v>
      </c>
      <c r="B26" t="s">
        <v>177</v>
      </c>
      <c r="C26" t="s">
        <v>192</v>
      </c>
      <c r="D26" t="s">
        <v>201</v>
      </c>
      <c r="E26" t="s">
        <v>30</v>
      </c>
      <c r="F26" t="s">
        <v>19</v>
      </c>
      <c r="G26" t="s">
        <v>202</v>
      </c>
      <c r="H26" t="s">
        <v>22</v>
      </c>
      <c r="I26" t="s">
        <v>22</v>
      </c>
      <c r="J26" t="s">
        <v>22</v>
      </c>
      <c r="K26" t="s">
        <v>202</v>
      </c>
      <c r="L26" t="s">
        <v>203</v>
      </c>
      <c r="M26" t="s">
        <v>198</v>
      </c>
      <c r="N26" t="s">
        <v>201</v>
      </c>
      <c r="O26" t="s">
        <v>858</v>
      </c>
      <c r="P26" t="str" cm="1">
        <f t="array" ref="P26">_xlfn.IFS(ISNUMBER(SEARCH("AEIC:", O26)), "Arkansas",ISNUMBER(SEARCH("STM:", O26)), "Texas",ISNUMBER(SEARCH("BILLING:", O26)), "Texas",ISNUMBER(SEARCH("AM:", O26)), "Texas",ISNUMBER(SEARCH("ARBlvd:", O26)), "Arkansas",ISNUMBER(SEARCH("Atlanta:", O26)), "Texas",ISNUMBER(SEARCH("Blanchard:", O26)), "Louisiana",ISNUMBER(SEARCH("Bryant:", O26)), "Arkansas",ISNUMBER(SEARCH("Choctaw:", O26)), "Oklahoma",ISNUMBER(SEARCH("Choc Allgy:", O26)), "Oklahoma",ISNUMBER(SEARCH("DeQueen:", O26)), "Arkansas",ISNUMBER(SEARCH("Edmond:", O26)), "Oklahoma",ISNUMBER(SEARCH("Edmd Aller:", O26)), "Oklahoma",ISNUMBER(SEARCH("Imaging:", O26)), "Texas",ISNUMBER(SEARCH("Longview:", O26)), "Texas",ISNUMBER(SEARCH("Marshall:", O26)), "Texas",ISNUMBER(SEARCH("Mar Allerg:", O26)), "Texas",ISNUMBER(SEARCH("Maumelle:", O26)), "Arkansas",ISNUMBER(SEARCH("MWC:", O26)), "Oklahoma",ISNUMBER(SEARCH("MWC Allgy:", O26)), "Oklahoma",ISNUMBER(SEARCH("Moore:", O26)), "Oklahoma",ISNUMBER(SEARCH("MooreAllgy:", O26)), "Oklahoma",ISNUMBER(SEARCH("MtPleasant:", O26)), "Texas",ISNUMBER(SEARCH("OccOffsite:", O26)), "Texas",ISNUMBER(SEARCH("Pain Mgmt:", O26)), "Texas",ISNUMBER(SEARCH("Paris:", O26)), "Texas",ISNUMBER(SEARCH("PT:", O26)), "Texas",ISNUMBER(SEARCH("RR Allergy:", O26)), "Texas",ISNUMBER(SEARCH("Sherwood:", O26)), "Arkansas",ISNUMBER(SEARCH("WV:", O26)), "Texas",ISNUMBER(SEARCH("Nur-Home:", O26)), "Texas",ISNUMBER(SEARCH("THC:", O26)), "Texas",ISNUMBER(SEARCH("WVTC:", O26)), "Texas",ISNUMBER(SEARCH("TSC:", O26)), "Texas",ISNUMBER(SEARCH("V-AR Blvd:", O26)), "Arkansas",ISNUMBER(SEARCH("V-Maumelle:", O26)), "Arkansas",ISNUMBER(SEARCH("V-Atlanta:", O26)), "Texas",ISNUMBER(SEARCH("VBlanchard:", O26)), "Louisiana",ISNUMBER(SEARCH("V-Bryant:", O26)), "Arkansas",ISNUMBER(SEARCH("V-Choctaw:", O26)), "Oklahoma",ISNUMBER(SEARCH("V-DeQueen:", O26)), "Arkansas",ISNUMBER(SEARCH("V-Longview:", O26)), "Texas",ISNUMBER(SEARCH("V-Marshall:", O26)), "Texas",ISNUMBER(SEARCH("V-MWC:", O26)), "Oklahoma",ISNUMBER(SEARCH("V-Moore:", O26)), "Oklahoma",ISNUMBER(SEARCH("V-MP:", O26)), "Texas",ISNUMBER(SEARCH("V-Edmond:", O26)), "Oklahoma",ISNUMBER(SEARCH("V-Paris:", O26)), "Texas",ISNUMBER(SEARCH("V-RR:", O26)), "Texas",ISNUMBER(SEARCH("V-Sherwood:", O26)), "Arkansas",ISNUMBER(SEARCH("V-WV:", O26)), "Texas",ISNUMBER(SEARCH("HealthCARE Express - Richmond Road", O26)), "Texas",ISNUMBER(SEARCH("HealthCARE Express - Occupational Medicine", O26)), "Texas")</f>
        <v>Texas</v>
      </c>
      <c r="Q26" t="s">
        <v>841</v>
      </c>
      <c r="R26" t="s">
        <v>847</v>
      </c>
      <c r="S26" t="s">
        <v>30</v>
      </c>
      <c r="T26" t="s">
        <v>848</v>
      </c>
      <c r="U26" t="s">
        <v>843</v>
      </c>
      <c r="V26" t="s">
        <v>899</v>
      </c>
      <c r="W26" t="s">
        <v>900</v>
      </c>
      <c r="X26" t="s">
        <v>901</v>
      </c>
      <c r="Y26" t="s">
        <v>862</v>
      </c>
      <c r="Z26" t="s">
        <v>902</v>
      </c>
      <c r="AA26" t="s">
        <v>844</v>
      </c>
      <c r="AB26" t="s">
        <v>903</v>
      </c>
      <c r="AC26" t="s">
        <v>866</v>
      </c>
      <c r="AF26" t="str" cm="1">
        <f t="array" ref="AF26">IF(SUMPRODUCT(--ISNUMBER(SEARCH("992",T26:AE26)))&gt;0, "E&amp;M", "No E&amp;M")</f>
        <v>E&amp;M</v>
      </c>
      <c r="AG26" t="str">
        <f t="shared" si="3"/>
        <v>99214</v>
      </c>
      <c r="AH26" t="str">
        <f t="shared" si="4"/>
        <v>Estd. Patient</v>
      </c>
      <c r="AI26" t="str">
        <f t="shared" si="2"/>
        <v>Texas/La/DQ/Ark Blvd</v>
      </c>
    </row>
    <row r="27" spans="1:35" x14ac:dyDescent="0.3">
      <c r="A27" t="s">
        <v>204</v>
      </c>
      <c r="B27" t="s">
        <v>177</v>
      </c>
      <c r="C27" t="s">
        <v>192</v>
      </c>
      <c r="D27" t="s">
        <v>205</v>
      </c>
      <c r="E27" t="s">
        <v>39</v>
      </c>
      <c r="F27" t="s">
        <v>19</v>
      </c>
      <c r="G27" t="s">
        <v>206</v>
      </c>
      <c r="H27" t="s">
        <v>207</v>
      </c>
      <c r="I27" t="s">
        <v>22</v>
      </c>
      <c r="J27" t="s">
        <v>22</v>
      </c>
      <c r="K27" t="s">
        <v>208</v>
      </c>
      <c r="L27" t="s">
        <v>209</v>
      </c>
      <c r="M27" t="s">
        <v>198</v>
      </c>
      <c r="N27" t="s">
        <v>205</v>
      </c>
      <c r="O27" t="s">
        <v>858</v>
      </c>
      <c r="P27" t="str" cm="1">
        <f t="array" ref="P27">_xlfn.IFS(ISNUMBER(SEARCH("AEIC:", O27)), "Arkansas",ISNUMBER(SEARCH("STM:", O27)), "Texas",ISNUMBER(SEARCH("BILLING:", O27)), "Texas",ISNUMBER(SEARCH("AM:", O27)), "Texas",ISNUMBER(SEARCH("ARBlvd:", O27)), "Arkansas",ISNUMBER(SEARCH("Atlanta:", O27)), "Texas",ISNUMBER(SEARCH("Blanchard:", O27)), "Louisiana",ISNUMBER(SEARCH("Bryant:", O27)), "Arkansas",ISNUMBER(SEARCH("Choctaw:", O27)), "Oklahoma",ISNUMBER(SEARCH("Choc Allgy:", O27)), "Oklahoma",ISNUMBER(SEARCH("DeQueen:", O27)), "Arkansas",ISNUMBER(SEARCH("Edmond:", O27)), "Oklahoma",ISNUMBER(SEARCH("Edmd Aller:", O27)), "Oklahoma",ISNUMBER(SEARCH("Imaging:", O27)), "Texas",ISNUMBER(SEARCH("Longview:", O27)), "Texas",ISNUMBER(SEARCH("Marshall:", O27)), "Texas",ISNUMBER(SEARCH("Mar Allerg:", O27)), "Texas",ISNUMBER(SEARCH("Maumelle:", O27)), "Arkansas",ISNUMBER(SEARCH("MWC:", O27)), "Oklahoma",ISNUMBER(SEARCH("MWC Allgy:", O27)), "Oklahoma",ISNUMBER(SEARCH("Moore:", O27)), "Oklahoma",ISNUMBER(SEARCH("MooreAllgy:", O27)), "Oklahoma",ISNUMBER(SEARCH("MtPleasant:", O27)), "Texas",ISNUMBER(SEARCH("OccOffsite:", O27)), "Texas",ISNUMBER(SEARCH("Pain Mgmt:", O27)), "Texas",ISNUMBER(SEARCH("Paris:", O27)), "Texas",ISNUMBER(SEARCH("PT:", O27)), "Texas",ISNUMBER(SEARCH("RR Allergy:", O27)), "Texas",ISNUMBER(SEARCH("Sherwood:", O27)), "Arkansas",ISNUMBER(SEARCH("WV:", O27)), "Texas",ISNUMBER(SEARCH("Nur-Home:", O27)), "Texas",ISNUMBER(SEARCH("THC:", O27)), "Texas",ISNUMBER(SEARCH("WVTC:", O27)), "Texas",ISNUMBER(SEARCH("TSC:", O27)), "Texas",ISNUMBER(SEARCH("V-AR Blvd:", O27)), "Arkansas",ISNUMBER(SEARCH("V-Maumelle:", O27)), "Arkansas",ISNUMBER(SEARCH("V-Atlanta:", O27)), "Texas",ISNUMBER(SEARCH("VBlanchard:", O27)), "Louisiana",ISNUMBER(SEARCH("V-Bryant:", O27)), "Arkansas",ISNUMBER(SEARCH("V-Choctaw:", O27)), "Oklahoma",ISNUMBER(SEARCH("V-DeQueen:", O27)), "Arkansas",ISNUMBER(SEARCH("V-Longview:", O27)), "Texas",ISNUMBER(SEARCH("V-Marshall:", O27)), "Texas",ISNUMBER(SEARCH("V-MWC:", O27)), "Oklahoma",ISNUMBER(SEARCH("V-Moore:", O27)), "Oklahoma",ISNUMBER(SEARCH("V-MP:", O27)), "Texas",ISNUMBER(SEARCH("V-Edmond:", O27)), "Oklahoma",ISNUMBER(SEARCH("V-Paris:", O27)), "Texas",ISNUMBER(SEARCH("V-RR:", O27)), "Texas",ISNUMBER(SEARCH("V-Sherwood:", O27)), "Arkansas",ISNUMBER(SEARCH("V-WV:", O27)), "Texas",ISNUMBER(SEARCH("HealthCARE Express - Richmond Road", O27)), "Texas",ISNUMBER(SEARCH("HealthCARE Express - Occupational Medicine", O27)), "Texas")</f>
        <v>Texas</v>
      </c>
      <c r="Q27" t="s">
        <v>841</v>
      </c>
      <c r="R27" t="s">
        <v>856</v>
      </c>
      <c r="S27" t="s">
        <v>39</v>
      </c>
      <c r="T27" t="s">
        <v>904</v>
      </c>
      <c r="U27" t="s">
        <v>849</v>
      </c>
      <c r="V27" t="s">
        <v>850</v>
      </c>
      <c r="W27" t="s">
        <v>844</v>
      </c>
      <c r="X27" t="s">
        <v>863</v>
      </c>
      <c r="Y27" t="s">
        <v>860</v>
      </c>
      <c r="Z27" t="s">
        <v>864</v>
      </c>
      <c r="AA27" t="s">
        <v>905</v>
      </c>
      <c r="AB27" t="s">
        <v>906</v>
      </c>
      <c r="AC27" t="s">
        <v>865</v>
      </c>
      <c r="AD27" t="s">
        <v>903</v>
      </c>
      <c r="AE27" t="s">
        <v>907</v>
      </c>
      <c r="AF27" t="str" cm="1">
        <f t="array" ref="AF27">IF(SUMPRODUCT(--ISNUMBER(SEARCH("992",T27:AE27)))&gt;0, "E&amp;M", "No E&amp;M")</f>
        <v>No E&amp;M</v>
      </c>
      <c r="AG27" t="str">
        <f t="shared" si="3"/>
        <v>No E&amp;M</v>
      </c>
      <c r="AH27" t="str">
        <f t="shared" si="4"/>
        <v>No E&amp;M</v>
      </c>
      <c r="AI27" t="str">
        <f t="shared" si="2"/>
        <v>Texas/La/DQ/Ark Blvd</v>
      </c>
    </row>
    <row r="28" spans="1:35" x14ac:dyDescent="0.3">
      <c r="A28" t="s">
        <v>210</v>
      </c>
      <c r="B28" t="s">
        <v>177</v>
      </c>
      <c r="C28" t="s">
        <v>170</v>
      </c>
      <c r="D28" t="s">
        <v>211</v>
      </c>
      <c r="E28" t="s">
        <v>124</v>
      </c>
      <c r="F28" t="s">
        <v>19</v>
      </c>
      <c r="G28" t="s">
        <v>212</v>
      </c>
      <c r="H28" t="s">
        <v>213</v>
      </c>
      <c r="I28" t="s">
        <v>22</v>
      </c>
      <c r="J28" t="s">
        <v>22</v>
      </c>
      <c r="K28" t="s">
        <v>214</v>
      </c>
      <c r="L28" t="s">
        <v>215</v>
      </c>
      <c r="M28" t="s">
        <v>175</v>
      </c>
      <c r="N28" t="s">
        <v>216</v>
      </c>
      <c r="O28" t="s">
        <v>896</v>
      </c>
      <c r="P28" t="str" cm="1">
        <f t="array" ref="P28">_xlfn.IFS(ISNUMBER(SEARCH("AEIC:", O28)), "Arkansas",ISNUMBER(SEARCH("STM:", O28)), "Texas",ISNUMBER(SEARCH("BILLING:", O28)), "Texas",ISNUMBER(SEARCH("AM:", O28)), "Texas",ISNUMBER(SEARCH("ARBlvd:", O28)), "Arkansas",ISNUMBER(SEARCH("Atlanta:", O28)), "Texas",ISNUMBER(SEARCH("Blanchard:", O28)), "Louisiana",ISNUMBER(SEARCH("Bryant:", O28)), "Arkansas",ISNUMBER(SEARCH("Choctaw:", O28)), "Oklahoma",ISNUMBER(SEARCH("Choc Allgy:", O28)), "Oklahoma",ISNUMBER(SEARCH("DeQueen:", O28)), "Arkansas",ISNUMBER(SEARCH("Edmond:", O28)), "Oklahoma",ISNUMBER(SEARCH("Edmd Aller:", O28)), "Oklahoma",ISNUMBER(SEARCH("Imaging:", O28)), "Texas",ISNUMBER(SEARCH("Longview:", O28)), "Texas",ISNUMBER(SEARCH("Marshall:", O28)), "Texas",ISNUMBER(SEARCH("Mar Allerg:", O28)), "Texas",ISNUMBER(SEARCH("Maumelle:", O28)), "Arkansas",ISNUMBER(SEARCH("MWC:", O28)), "Oklahoma",ISNUMBER(SEARCH("MWC Allgy:", O28)), "Oklahoma",ISNUMBER(SEARCH("Moore:", O28)), "Oklahoma",ISNUMBER(SEARCH("MooreAllgy:", O28)), "Oklahoma",ISNUMBER(SEARCH("MtPleasant:", O28)), "Texas",ISNUMBER(SEARCH("OccOffsite:", O28)), "Texas",ISNUMBER(SEARCH("Pain Mgmt:", O28)), "Texas",ISNUMBER(SEARCH("Paris:", O28)), "Texas",ISNUMBER(SEARCH("PT:", O28)), "Texas",ISNUMBER(SEARCH("RR Allergy:", O28)), "Texas",ISNUMBER(SEARCH("Sherwood:", O28)), "Arkansas",ISNUMBER(SEARCH("WV:", O28)), "Texas",ISNUMBER(SEARCH("Nur-Home:", O28)), "Texas",ISNUMBER(SEARCH("THC:", O28)), "Texas",ISNUMBER(SEARCH("WVTC:", O28)), "Texas",ISNUMBER(SEARCH("TSC:", O28)), "Texas",ISNUMBER(SEARCH("V-AR Blvd:", O28)), "Arkansas",ISNUMBER(SEARCH("V-Maumelle:", O28)), "Arkansas",ISNUMBER(SEARCH("V-Atlanta:", O28)), "Texas",ISNUMBER(SEARCH("VBlanchard:", O28)), "Louisiana",ISNUMBER(SEARCH("V-Bryant:", O28)), "Arkansas",ISNUMBER(SEARCH("V-Choctaw:", O28)), "Oklahoma",ISNUMBER(SEARCH("V-DeQueen:", O28)), "Arkansas",ISNUMBER(SEARCH("V-Longview:", O28)), "Texas",ISNUMBER(SEARCH("V-Marshall:", O28)), "Texas",ISNUMBER(SEARCH("V-MWC:", O28)), "Oklahoma",ISNUMBER(SEARCH("V-Moore:", O28)), "Oklahoma",ISNUMBER(SEARCH("V-MP:", O28)), "Texas",ISNUMBER(SEARCH("V-Edmond:", O28)), "Oklahoma",ISNUMBER(SEARCH("V-Paris:", O28)), "Texas",ISNUMBER(SEARCH("V-RR:", O28)), "Texas",ISNUMBER(SEARCH("V-Sherwood:", O28)), "Arkansas",ISNUMBER(SEARCH("V-WV:", O28)), "Texas",ISNUMBER(SEARCH("HealthCARE Express - Richmond Road", O28)), "Texas",ISNUMBER(SEARCH("HealthCARE Express - Occupational Medicine", O28)), "Texas")</f>
        <v>Texas</v>
      </c>
      <c r="Q28" t="s">
        <v>841</v>
      </c>
      <c r="R28" t="s">
        <v>847</v>
      </c>
      <c r="S28" t="s">
        <v>124</v>
      </c>
      <c r="T28" t="s">
        <v>843</v>
      </c>
      <c r="U28" t="s">
        <v>873</v>
      </c>
      <c r="AF28" t="str" cm="1">
        <f t="array" ref="AF28">IF(SUMPRODUCT(--ISNUMBER(SEARCH("992",T28:AE28)))&gt;0, "E&amp;M", "No E&amp;M")</f>
        <v>No E&amp;M</v>
      </c>
      <c r="AG28" t="str">
        <f t="shared" si="3"/>
        <v>No E&amp;M</v>
      </c>
      <c r="AH28" t="str">
        <f t="shared" si="4"/>
        <v>No E&amp;M</v>
      </c>
      <c r="AI28" t="str">
        <f t="shared" si="2"/>
        <v>-</v>
      </c>
    </row>
    <row r="29" spans="1:35" x14ac:dyDescent="0.3">
      <c r="A29" t="s">
        <v>217</v>
      </c>
      <c r="B29" t="s">
        <v>218</v>
      </c>
      <c r="C29" t="s">
        <v>219</v>
      </c>
      <c r="D29" t="s">
        <v>220</v>
      </c>
      <c r="E29" t="s">
        <v>30</v>
      </c>
      <c r="F29" t="s">
        <v>19</v>
      </c>
      <c r="G29" t="s">
        <v>221</v>
      </c>
      <c r="H29" t="s">
        <v>22</v>
      </c>
      <c r="I29" t="s">
        <v>22</v>
      </c>
      <c r="J29" t="s">
        <v>22</v>
      </c>
      <c r="K29" t="s">
        <v>221</v>
      </c>
      <c r="L29" t="s">
        <v>222</v>
      </c>
      <c r="M29" t="s">
        <v>223</v>
      </c>
      <c r="N29" t="s">
        <v>224</v>
      </c>
      <c r="O29" t="s">
        <v>908</v>
      </c>
      <c r="P29" t="str" cm="1">
        <f t="array" ref="P29">_xlfn.IFS(ISNUMBER(SEARCH("AEIC:", O29)), "Arkansas",ISNUMBER(SEARCH("STM:", O29)), "Texas",ISNUMBER(SEARCH("BILLING:", O29)), "Texas",ISNUMBER(SEARCH("AM:", O29)), "Texas",ISNUMBER(SEARCH("ARBlvd:", O29)), "Arkansas",ISNUMBER(SEARCH("Atlanta:", O29)), "Texas",ISNUMBER(SEARCH("Blanchard:", O29)), "Louisiana",ISNUMBER(SEARCH("Bryant:", O29)), "Arkansas",ISNUMBER(SEARCH("Choctaw:", O29)), "Oklahoma",ISNUMBER(SEARCH("Choc Allgy:", O29)), "Oklahoma",ISNUMBER(SEARCH("DeQueen:", O29)), "Arkansas",ISNUMBER(SEARCH("Edmond:", O29)), "Oklahoma",ISNUMBER(SEARCH("Edmd Aller:", O29)), "Oklahoma",ISNUMBER(SEARCH("Imaging:", O29)), "Texas",ISNUMBER(SEARCH("Longview:", O29)), "Texas",ISNUMBER(SEARCH("Marshall:", O29)), "Texas",ISNUMBER(SEARCH("Mar Allerg:", O29)), "Texas",ISNUMBER(SEARCH("Maumelle:", O29)), "Arkansas",ISNUMBER(SEARCH("MWC:", O29)), "Oklahoma",ISNUMBER(SEARCH("MWC Allgy:", O29)), "Oklahoma",ISNUMBER(SEARCH("Moore:", O29)), "Oklahoma",ISNUMBER(SEARCH("MooreAllgy:", O29)), "Oklahoma",ISNUMBER(SEARCH("MtPleasant:", O29)), "Texas",ISNUMBER(SEARCH("OccOffsite:", O29)), "Texas",ISNUMBER(SEARCH("Pain Mgmt:", O29)), "Texas",ISNUMBER(SEARCH("Paris:", O29)), "Texas",ISNUMBER(SEARCH("PT:", O29)), "Texas",ISNUMBER(SEARCH("RR Allergy:", O29)), "Texas",ISNUMBER(SEARCH("Sherwood:", O29)), "Arkansas",ISNUMBER(SEARCH("WV:", O29)), "Texas",ISNUMBER(SEARCH("Nur-Home:", O29)), "Texas",ISNUMBER(SEARCH("THC:", O29)), "Texas",ISNUMBER(SEARCH("WVTC:", O29)), "Texas",ISNUMBER(SEARCH("TSC:", O29)), "Texas",ISNUMBER(SEARCH("V-AR Blvd:", O29)), "Arkansas",ISNUMBER(SEARCH("V-Maumelle:", O29)), "Arkansas",ISNUMBER(SEARCH("V-Atlanta:", O29)), "Texas",ISNUMBER(SEARCH("VBlanchard:", O29)), "Louisiana",ISNUMBER(SEARCH("V-Bryant:", O29)), "Arkansas",ISNUMBER(SEARCH("V-Choctaw:", O29)), "Oklahoma",ISNUMBER(SEARCH("V-DeQueen:", O29)), "Arkansas",ISNUMBER(SEARCH("V-Longview:", O29)), "Texas",ISNUMBER(SEARCH("V-Marshall:", O29)), "Texas",ISNUMBER(SEARCH("V-MWC:", O29)), "Oklahoma",ISNUMBER(SEARCH("V-Moore:", O29)), "Oklahoma",ISNUMBER(SEARCH("V-MP:", O29)), "Texas",ISNUMBER(SEARCH("V-Edmond:", O29)), "Oklahoma",ISNUMBER(SEARCH("V-Paris:", O29)), "Texas",ISNUMBER(SEARCH("V-RR:", O29)), "Texas",ISNUMBER(SEARCH("V-Sherwood:", O29)), "Arkansas",ISNUMBER(SEARCH("V-WV:", O29)), "Texas",ISNUMBER(SEARCH("HealthCARE Express - Richmond Road", O29)), "Texas",ISNUMBER(SEARCH("HealthCARE Express - Occupational Medicine", O29)), "Texas")</f>
        <v>Texas</v>
      </c>
      <c r="Q29" t="s">
        <v>841</v>
      </c>
      <c r="R29" t="s">
        <v>847</v>
      </c>
      <c r="S29" t="s">
        <v>30</v>
      </c>
      <c r="T29" t="s">
        <v>848</v>
      </c>
      <c r="U29" t="s">
        <v>843</v>
      </c>
      <c r="V29" t="s">
        <v>899</v>
      </c>
      <c r="W29" t="s">
        <v>889</v>
      </c>
      <c r="X29" t="s">
        <v>844</v>
      </c>
      <c r="Y29" t="s">
        <v>861</v>
      </c>
      <c r="Z29" t="s">
        <v>864</v>
      </c>
      <c r="AA29" t="s">
        <v>852</v>
      </c>
      <c r="AB29" t="s">
        <v>845</v>
      </c>
      <c r="AC29" t="s">
        <v>867</v>
      </c>
      <c r="AF29" t="str" cm="1">
        <f t="array" ref="AF29">IF(SUMPRODUCT(--ISNUMBER(SEARCH("992",T29:AE29)))&gt;0, "E&amp;M", "No E&amp;M")</f>
        <v>E&amp;M</v>
      </c>
      <c r="AG29" t="str">
        <f t="shared" si="3"/>
        <v>99214</v>
      </c>
      <c r="AH29" t="str">
        <f t="shared" si="4"/>
        <v>Estd. Patient</v>
      </c>
      <c r="AI29" t="str">
        <f t="shared" si="2"/>
        <v>Texas/La/DQ/Ark Blvd</v>
      </c>
    </row>
    <row r="30" spans="1:35" x14ac:dyDescent="0.3">
      <c r="A30" t="s">
        <v>225</v>
      </c>
      <c r="B30" t="s">
        <v>218</v>
      </c>
      <c r="C30" t="s">
        <v>226</v>
      </c>
      <c r="D30" t="s">
        <v>227</v>
      </c>
      <c r="E30" t="s">
        <v>148</v>
      </c>
      <c r="F30" t="s">
        <v>19</v>
      </c>
      <c r="G30" t="s">
        <v>228</v>
      </c>
      <c r="H30" t="s">
        <v>22</v>
      </c>
      <c r="I30" t="s">
        <v>22</v>
      </c>
      <c r="J30" t="s">
        <v>22</v>
      </c>
      <c r="K30" t="s">
        <v>228</v>
      </c>
      <c r="L30" t="s">
        <v>229</v>
      </c>
      <c r="M30" t="s">
        <v>230</v>
      </c>
      <c r="N30" t="s">
        <v>227</v>
      </c>
      <c r="O30" t="s">
        <v>909</v>
      </c>
      <c r="P30" t="str" cm="1">
        <f t="array" ref="P30">_xlfn.IFS(ISNUMBER(SEARCH("AEIC:", O30)), "Arkansas",ISNUMBER(SEARCH("STM:", O30)), "Texas",ISNUMBER(SEARCH("BILLING:", O30)), "Texas",ISNUMBER(SEARCH("AM:", O30)), "Texas",ISNUMBER(SEARCH("ARBlvd:", O30)), "Arkansas",ISNUMBER(SEARCH("Atlanta:", O30)), "Texas",ISNUMBER(SEARCH("Blanchard:", O30)), "Louisiana",ISNUMBER(SEARCH("Bryant:", O30)), "Arkansas",ISNUMBER(SEARCH("Choctaw:", O30)), "Oklahoma",ISNUMBER(SEARCH("Choc Allgy:", O30)), "Oklahoma",ISNUMBER(SEARCH("DeQueen:", O30)), "Arkansas",ISNUMBER(SEARCH("Edmond:", O30)), "Oklahoma",ISNUMBER(SEARCH("Edmd Aller:", O30)), "Oklahoma",ISNUMBER(SEARCH("Imaging:", O30)), "Texas",ISNUMBER(SEARCH("Longview:", O30)), "Texas",ISNUMBER(SEARCH("Marshall:", O30)), "Texas",ISNUMBER(SEARCH("Mar Allerg:", O30)), "Texas",ISNUMBER(SEARCH("Maumelle:", O30)), "Arkansas",ISNUMBER(SEARCH("MWC:", O30)), "Oklahoma",ISNUMBER(SEARCH("MWC Allgy:", O30)), "Oklahoma",ISNUMBER(SEARCH("Moore:", O30)), "Oklahoma",ISNUMBER(SEARCH("MooreAllgy:", O30)), "Oklahoma",ISNUMBER(SEARCH("MtPleasant:", O30)), "Texas",ISNUMBER(SEARCH("OccOffsite:", O30)), "Texas",ISNUMBER(SEARCH("Pain Mgmt:", O30)), "Texas",ISNUMBER(SEARCH("Paris:", O30)), "Texas",ISNUMBER(SEARCH("PT:", O30)), "Texas",ISNUMBER(SEARCH("RR Allergy:", O30)), "Texas",ISNUMBER(SEARCH("Sherwood:", O30)), "Arkansas",ISNUMBER(SEARCH("WV:", O30)), "Texas",ISNUMBER(SEARCH("Nur-Home:", O30)), "Texas",ISNUMBER(SEARCH("THC:", O30)), "Texas",ISNUMBER(SEARCH("WVTC:", O30)), "Texas",ISNUMBER(SEARCH("TSC:", O30)), "Texas",ISNUMBER(SEARCH("V-AR Blvd:", O30)), "Arkansas",ISNUMBER(SEARCH("V-Maumelle:", O30)), "Arkansas",ISNUMBER(SEARCH("V-Atlanta:", O30)), "Texas",ISNUMBER(SEARCH("VBlanchard:", O30)), "Louisiana",ISNUMBER(SEARCH("V-Bryant:", O30)), "Arkansas",ISNUMBER(SEARCH("V-Choctaw:", O30)), "Oklahoma",ISNUMBER(SEARCH("V-DeQueen:", O30)), "Arkansas",ISNUMBER(SEARCH("V-Longview:", O30)), "Texas",ISNUMBER(SEARCH("V-Marshall:", O30)), "Texas",ISNUMBER(SEARCH("V-MWC:", O30)), "Oklahoma",ISNUMBER(SEARCH("V-Moore:", O30)), "Oklahoma",ISNUMBER(SEARCH("V-MP:", O30)), "Texas",ISNUMBER(SEARCH("V-Edmond:", O30)), "Oklahoma",ISNUMBER(SEARCH("V-Paris:", O30)), "Texas",ISNUMBER(SEARCH("V-RR:", O30)), "Texas",ISNUMBER(SEARCH("V-Sherwood:", O30)), "Arkansas",ISNUMBER(SEARCH("V-WV:", O30)), "Texas",ISNUMBER(SEARCH("HealthCARE Express - Richmond Road", O30)), "Texas",ISNUMBER(SEARCH("HealthCARE Express - Occupational Medicine", O30)), "Texas")</f>
        <v>Oklahoma</v>
      </c>
      <c r="Q30" t="s">
        <v>841</v>
      </c>
      <c r="R30" t="s">
        <v>847</v>
      </c>
      <c r="S30" t="s">
        <v>148</v>
      </c>
      <c r="T30" t="s">
        <v>848</v>
      </c>
      <c r="U30" t="s">
        <v>843</v>
      </c>
      <c r="V30" t="s">
        <v>849</v>
      </c>
      <c r="W30" t="s">
        <v>873</v>
      </c>
      <c r="X30" t="s">
        <v>864</v>
      </c>
      <c r="AF30" t="str" cm="1">
        <f t="array" ref="AF30">IF(SUMPRODUCT(--ISNUMBER(SEARCH("992",T30:AE30)))&gt;0, "E&amp;M", "No E&amp;M")</f>
        <v>E&amp;M</v>
      </c>
      <c r="AG30" t="str">
        <f t="shared" si="3"/>
        <v>99214</v>
      </c>
      <c r="AH30" t="str">
        <f t="shared" si="4"/>
        <v>Estd. Patient</v>
      </c>
      <c r="AI30" t="str">
        <f t="shared" si="2"/>
        <v>Oklahoma</v>
      </c>
    </row>
    <row r="31" spans="1:35" x14ac:dyDescent="0.3">
      <c r="A31" t="s">
        <v>231</v>
      </c>
      <c r="B31" t="s">
        <v>218</v>
      </c>
      <c r="C31" t="s">
        <v>192</v>
      </c>
      <c r="D31" t="s">
        <v>232</v>
      </c>
      <c r="E31" t="s">
        <v>233</v>
      </c>
      <c r="F31" t="s">
        <v>19</v>
      </c>
      <c r="G31" t="s">
        <v>234</v>
      </c>
      <c r="H31" t="s">
        <v>235</v>
      </c>
      <c r="I31" t="s">
        <v>22</v>
      </c>
      <c r="J31" t="s">
        <v>22</v>
      </c>
      <c r="K31" t="s">
        <v>236</v>
      </c>
      <c r="L31" t="s">
        <v>237</v>
      </c>
      <c r="M31" t="s">
        <v>198</v>
      </c>
      <c r="N31" t="s">
        <v>238</v>
      </c>
      <c r="O31" t="s">
        <v>910</v>
      </c>
      <c r="P31" t="str" cm="1">
        <f t="array" ref="P31">_xlfn.IFS(ISNUMBER(SEARCH("AEIC:", O31)), "Arkansas",ISNUMBER(SEARCH("STM:", O31)), "Texas",ISNUMBER(SEARCH("BILLING:", O31)), "Texas",ISNUMBER(SEARCH("AM:", O31)), "Texas",ISNUMBER(SEARCH("ARBlvd:", O31)), "Arkansas",ISNUMBER(SEARCH("Atlanta:", O31)), "Texas",ISNUMBER(SEARCH("Blanchard:", O31)), "Louisiana",ISNUMBER(SEARCH("Bryant:", O31)), "Arkansas",ISNUMBER(SEARCH("Choctaw:", O31)), "Oklahoma",ISNUMBER(SEARCH("Choc Allgy:", O31)), "Oklahoma",ISNUMBER(SEARCH("DeQueen:", O31)), "Arkansas",ISNUMBER(SEARCH("Edmond:", O31)), "Oklahoma",ISNUMBER(SEARCH("Edmd Aller:", O31)), "Oklahoma",ISNUMBER(SEARCH("Imaging:", O31)), "Texas",ISNUMBER(SEARCH("Longview:", O31)), "Texas",ISNUMBER(SEARCH("Marshall:", O31)), "Texas",ISNUMBER(SEARCH("Mar Allerg:", O31)), "Texas",ISNUMBER(SEARCH("Maumelle:", O31)), "Arkansas",ISNUMBER(SEARCH("MWC:", O31)), "Oklahoma",ISNUMBER(SEARCH("MWC Allgy:", O31)), "Oklahoma",ISNUMBER(SEARCH("Moore:", O31)), "Oklahoma",ISNUMBER(SEARCH("MooreAllgy:", O31)), "Oklahoma",ISNUMBER(SEARCH("MtPleasant:", O31)), "Texas",ISNUMBER(SEARCH("OccOffsite:", O31)), "Texas",ISNUMBER(SEARCH("Pain Mgmt:", O31)), "Texas",ISNUMBER(SEARCH("Paris:", O31)), "Texas",ISNUMBER(SEARCH("PT:", O31)), "Texas",ISNUMBER(SEARCH("RR Allergy:", O31)), "Texas",ISNUMBER(SEARCH("Sherwood:", O31)), "Arkansas",ISNUMBER(SEARCH("WV:", O31)), "Texas",ISNUMBER(SEARCH("Nur-Home:", O31)), "Texas",ISNUMBER(SEARCH("THC:", O31)), "Texas",ISNUMBER(SEARCH("WVTC:", O31)), "Texas",ISNUMBER(SEARCH("TSC:", O31)), "Texas",ISNUMBER(SEARCH("V-AR Blvd:", O31)), "Arkansas",ISNUMBER(SEARCH("V-Maumelle:", O31)), "Arkansas",ISNUMBER(SEARCH("V-Atlanta:", O31)), "Texas",ISNUMBER(SEARCH("VBlanchard:", O31)), "Louisiana",ISNUMBER(SEARCH("V-Bryant:", O31)), "Arkansas",ISNUMBER(SEARCH("V-Choctaw:", O31)), "Oklahoma",ISNUMBER(SEARCH("V-DeQueen:", O31)), "Arkansas",ISNUMBER(SEARCH("V-Longview:", O31)), "Texas",ISNUMBER(SEARCH("V-Marshall:", O31)), "Texas",ISNUMBER(SEARCH("V-MWC:", O31)), "Oklahoma",ISNUMBER(SEARCH("V-Moore:", O31)), "Oklahoma",ISNUMBER(SEARCH("V-MP:", O31)), "Texas",ISNUMBER(SEARCH("V-Edmond:", O31)), "Oklahoma",ISNUMBER(SEARCH("V-Paris:", O31)), "Texas",ISNUMBER(SEARCH("V-RR:", O31)), "Texas",ISNUMBER(SEARCH("V-Sherwood:", O31)), "Arkansas",ISNUMBER(SEARCH("V-WV:", O31)), "Texas",ISNUMBER(SEARCH("HealthCARE Express - Richmond Road", O31)), "Texas",ISNUMBER(SEARCH("HealthCARE Express - Occupational Medicine", O31)), "Texas")</f>
        <v>Texas</v>
      </c>
      <c r="Q31" t="s">
        <v>869</v>
      </c>
      <c r="R31" t="s">
        <v>872</v>
      </c>
      <c r="S31" t="s">
        <v>233</v>
      </c>
      <c r="T31" t="s">
        <v>911</v>
      </c>
      <c r="AF31" t="str" cm="1">
        <f t="array" ref="AF31">IF(SUMPRODUCT(--ISNUMBER(SEARCH("992",T31:AE31)))&gt;0, "E&amp;M", "No E&amp;M")</f>
        <v>No E&amp;M</v>
      </c>
      <c r="AG31" t="str">
        <f t="shared" si="3"/>
        <v>No E&amp;M</v>
      </c>
      <c r="AH31" t="str">
        <f t="shared" si="4"/>
        <v>No E&amp;M</v>
      </c>
      <c r="AI31" t="str">
        <f t="shared" si="2"/>
        <v>Texas/La/DQ/Ark Blvd</v>
      </c>
    </row>
    <row r="32" spans="1:35" x14ac:dyDescent="0.3">
      <c r="A32" t="s">
        <v>239</v>
      </c>
      <c r="B32" t="s">
        <v>218</v>
      </c>
      <c r="C32" t="s">
        <v>240</v>
      </c>
      <c r="D32" t="s">
        <v>241</v>
      </c>
      <c r="E32" t="s">
        <v>148</v>
      </c>
      <c r="F32" t="s">
        <v>19</v>
      </c>
      <c r="G32" t="s">
        <v>242</v>
      </c>
      <c r="H32" t="s">
        <v>22</v>
      </c>
      <c r="I32" t="s">
        <v>22</v>
      </c>
      <c r="J32" t="s">
        <v>22</v>
      </c>
      <c r="K32" t="s">
        <v>242</v>
      </c>
      <c r="L32" t="s">
        <v>243</v>
      </c>
      <c r="M32" t="s">
        <v>244</v>
      </c>
      <c r="N32" t="s">
        <v>245</v>
      </c>
      <c r="O32" t="s">
        <v>890</v>
      </c>
      <c r="P32" t="str" cm="1">
        <f t="array" ref="P32">_xlfn.IFS(ISNUMBER(SEARCH("AEIC:", O32)), "Arkansas",ISNUMBER(SEARCH("STM:", O32)), "Texas",ISNUMBER(SEARCH("BILLING:", O32)), "Texas",ISNUMBER(SEARCH("AM:", O32)), "Texas",ISNUMBER(SEARCH("ARBlvd:", O32)), "Arkansas",ISNUMBER(SEARCH("Atlanta:", O32)), "Texas",ISNUMBER(SEARCH("Blanchard:", O32)), "Louisiana",ISNUMBER(SEARCH("Bryant:", O32)), "Arkansas",ISNUMBER(SEARCH("Choctaw:", O32)), "Oklahoma",ISNUMBER(SEARCH("Choc Allgy:", O32)), "Oklahoma",ISNUMBER(SEARCH("DeQueen:", O32)), "Arkansas",ISNUMBER(SEARCH("Edmond:", O32)), "Oklahoma",ISNUMBER(SEARCH("Edmd Aller:", O32)), "Oklahoma",ISNUMBER(SEARCH("Imaging:", O32)), "Texas",ISNUMBER(SEARCH("Longview:", O32)), "Texas",ISNUMBER(SEARCH("Marshall:", O32)), "Texas",ISNUMBER(SEARCH("Mar Allerg:", O32)), "Texas",ISNUMBER(SEARCH("Maumelle:", O32)), "Arkansas",ISNUMBER(SEARCH("MWC:", O32)), "Oklahoma",ISNUMBER(SEARCH("MWC Allgy:", O32)), "Oklahoma",ISNUMBER(SEARCH("Moore:", O32)), "Oklahoma",ISNUMBER(SEARCH("MooreAllgy:", O32)), "Oklahoma",ISNUMBER(SEARCH("MtPleasant:", O32)), "Texas",ISNUMBER(SEARCH("OccOffsite:", O32)), "Texas",ISNUMBER(SEARCH("Pain Mgmt:", O32)), "Texas",ISNUMBER(SEARCH("Paris:", O32)), "Texas",ISNUMBER(SEARCH("PT:", O32)), "Texas",ISNUMBER(SEARCH("RR Allergy:", O32)), "Texas",ISNUMBER(SEARCH("Sherwood:", O32)), "Arkansas",ISNUMBER(SEARCH("WV:", O32)), "Texas",ISNUMBER(SEARCH("Nur-Home:", O32)), "Texas",ISNUMBER(SEARCH("THC:", O32)), "Texas",ISNUMBER(SEARCH("WVTC:", O32)), "Texas",ISNUMBER(SEARCH("TSC:", O32)), "Texas",ISNUMBER(SEARCH("V-AR Blvd:", O32)), "Arkansas",ISNUMBER(SEARCH("V-Maumelle:", O32)), "Arkansas",ISNUMBER(SEARCH("V-Atlanta:", O32)), "Texas",ISNUMBER(SEARCH("VBlanchard:", O32)), "Louisiana",ISNUMBER(SEARCH("V-Bryant:", O32)), "Arkansas",ISNUMBER(SEARCH("V-Choctaw:", O32)), "Oklahoma",ISNUMBER(SEARCH("V-DeQueen:", O32)), "Arkansas",ISNUMBER(SEARCH("V-Longview:", O32)), "Texas",ISNUMBER(SEARCH("V-Marshall:", O32)), "Texas",ISNUMBER(SEARCH("V-MWC:", O32)), "Oklahoma",ISNUMBER(SEARCH("V-Moore:", O32)), "Oklahoma",ISNUMBER(SEARCH("V-MP:", O32)), "Texas",ISNUMBER(SEARCH("V-Edmond:", O32)), "Oklahoma",ISNUMBER(SEARCH("V-Paris:", O32)), "Texas",ISNUMBER(SEARCH("V-RR:", O32)), "Texas",ISNUMBER(SEARCH("V-Sherwood:", O32)), "Arkansas",ISNUMBER(SEARCH("V-WV:", O32)), "Texas",ISNUMBER(SEARCH("HealthCARE Express - Richmond Road", O32)), "Texas",ISNUMBER(SEARCH("HealthCARE Express - Occupational Medicine", O32)), "Texas")</f>
        <v>Arkansas</v>
      </c>
      <c r="Q32" t="s">
        <v>841</v>
      </c>
      <c r="R32" t="s">
        <v>847</v>
      </c>
      <c r="S32" t="s">
        <v>148</v>
      </c>
      <c r="T32" t="s">
        <v>912</v>
      </c>
      <c r="AF32" t="str" cm="1">
        <f t="array" ref="AF32">IF(SUMPRODUCT(--ISNUMBER(SEARCH("992",T32:AE32)))&gt;0, "E&amp;M", "No E&amp;M")</f>
        <v>E&amp;M</v>
      </c>
      <c r="AG32" t="str">
        <f t="shared" si="3"/>
        <v>99215</v>
      </c>
      <c r="AH32" t="str">
        <f t="shared" si="4"/>
        <v>Estd. Patient</v>
      </c>
      <c r="AI32" t="str">
        <f t="shared" si="2"/>
        <v>-</v>
      </c>
    </row>
    <row r="33" spans="1:35" x14ac:dyDescent="0.3">
      <c r="A33" t="s">
        <v>246</v>
      </c>
      <c r="B33" t="s">
        <v>218</v>
      </c>
      <c r="C33" t="s">
        <v>154</v>
      </c>
      <c r="D33" t="s">
        <v>247</v>
      </c>
      <c r="E33" t="s">
        <v>248</v>
      </c>
      <c r="F33" t="s">
        <v>19</v>
      </c>
      <c r="G33" t="s">
        <v>106</v>
      </c>
      <c r="H33" t="s">
        <v>22</v>
      </c>
      <c r="I33" t="s">
        <v>22</v>
      </c>
      <c r="J33" t="s">
        <v>22</v>
      </c>
      <c r="K33" t="s">
        <v>106</v>
      </c>
      <c r="L33" t="s">
        <v>249</v>
      </c>
      <c r="M33" t="s">
        <v>158</v>
      </c>
      <c r="N33" t="s">
        <v>250</v>
      </c>
      <c r="O33" t="s">
        <v>891</v>
      </c>
      <c r="P33" t="str" cm="1">
        <f t="array" ref="P33">_xlfn.IFS(ISNUMBER(SEARCH("AEIC:", O33)), "Arkansas",ISNUMBER(SEARCH("STM:", O33)), "Texas",ISNUMBER(SEARCH("BILLING:", O33)), "Texas",ISNUMBER(SEARCH("AM:", O33)), "Texas",ISNUMBER(SEARCH("ARBlvd:", O33)), "Arkansas",ISNUMBER(SEARCH("Atlanta:", O33)), "Texas",ISNUMBER(SEARCH("Blanchard:", O33)), "Louisiana",ISNUMBER(SEARCH("Bryant:", O33)), "Arkansas",ISNUMBER(SEARCH("Choctaw:", O33)), "Oklahoma",ISNUMBER(SEARCH("Choc Allgy:", O33)), "Oklahoma",ISNUMBER(SEARCH("DeQueen:", O33)), "Arkansas",ISNUMBER(SEARCH("Edmond:", O33)), "Oklahoma",ISNUMBER(SEARCH("Edmd Aller:", O33)), "Oklahoma",ISNUMBER(SEARCH("Imaging:", O33)), "Texas",ISNUMBER(SEARCH("Longview:", O33)), "Texas",ISNUMBER(SEARCH("Marshall:", O33)), "Texas",ISNUMBER(SEARCH("Mar Allerg:", O33)), "Texas",ISNUMBER(SEARCH("Maumelle:", O33)), "Arkansas",ISNUMBER(SEARCH("MWC:", O33)), "Oklahoma",ISNUMBER(SEARCH("MWC Allgy:", O33)), "Oklahoma",ISNUMBER(SEARCH("Moore:", O33)), "Oklahoma",ISNUMBER(SEARCH("MooreAllgy:", O33)), "Oklahoma",ISNUMBER(SEARCH("MtPleasant:", O33)), "Texas",ISNUMBER(SEARCH("OccOffsite:", O33)), "Texas",ISNUMBER(SEARCH("Pain Mgmt:", O33)), "Texas",ISNUMBER(SEARCH("Paris:", O33)), "Texas",ISNUMBER(SEARCH("PT:", O33)), "Texas",ISNUMBER(SEARCH("RR Allergy:", O33)), "Texas",ISNUMBER(SEARCH("Sherwood:", O33)), "Arkansas",ISNUMBER(SEARCH("WV:", O33)), "Texas",ISNUMBER(SEARCH("Nur-Home:", O33)), "Texas",ISNUMBER(SEARCH("THC:", O33)), "Texas",ISNUMBER(SEARCH("WVTC:", O33)), "Texas",ISNUMBER(SEARCH("TSC:", O33)), "Texas",ISNUMBER(SEARCH("V-AR Blvd:", O33)), "Arkansas",ISNUMBER(SEARCH("V-Maumelle:", O33)), "Arkansas",ISNUMBER(SEARCH("V-Atlanta:", O33)), "Texas",ISNUMBER(SEARCH("VBlanchard:", O33)), "Louisiana",ISNUMBER(SEARCH("V-Bryant:", O33)), "Arkansas",ISNUMBER(SEARCH("V-Choctaw:", O33)), "Oklahoma",ISNUMBER(SEARCH("V-DeQueen:", O33)), "Arkansas",ISNUMBER(SEARCH("V-Longview:", O33)), "Texas",ISNUMBER(SEARCH("V-Marshall:", O33)), "Texas",ISNUMBER(SEARCH("V-MWC:", O33)), "Oklahoma",ISNUMBER(SEARCH("V-Moore:", O33)), "Oklahoma",ISNUMBER(SEARCH("V-MP:", O33)), "Texas",ISNUMBER(SEARCH("V-Edmond:", O33)), "Oklahoma",ISNUMBER(SEARCH("V-Paris:", O33)), "Texas",ISNUMBER(SEARCH("V-RR:", O33)), "Texas",ISNUMBER(SEARCH("V-Sherwood:", O33)), "Arkansas",ISNUMBER(SEARCH("V-WV:", O33)), "Texas",ISNUMBER(SEARCH("HealthCARE Express - Richmond Road", O33)), "Texas",ISNUMBER(SEARCH("HealthCARE Express - Occupational Medicine", O33)), "Texas")</f>
        <v>Texas</v>
      </c>
      <c r="Q33" t="s">
        <v>841</v>
      </c>
      <c r="R33" t="s">
        <v>882</v>
      </c>
      <c r="S33" t="s">
        <v>248</v>
      </c>
      <c r="T33" t="s">
        <v>842</v>
      </c>
      <c r="AF33" t="str" cm="1">
        <f t="array" ref="AF33">IF(SUMPRODUCT(--ISNUMBER(SEARCH("992",T33:AE33)))&gt;0, "E&amp;M", "No E&amp;M")</f>
        <v>E&amp;M</v>
      </c>
      <c r="AG33" t="str">
        <f t="shared" si="3"/>
        <v>99213</v>
      </c>
      <c r="AH33" t="str">
        <f t="shared" si="4"/>
        <v>Estd. Patient</v>
      </c>
      <c r="AI33" t="str">
        <f t="shared" si="2"/>
        <v>Workers Comp</v>
      </c>
    </row>
    <row r="34" spans="1:35" x14ac:dyDescent="0.3">
      <c r="A34" t="s">
        <v>251</v>
      </c>
      <c r="B34" t="s">
        <v>218</v>
      </c>
      <c r="C34" t="s">
        <v>252</v>
      </c>
      <c r="D34" t="s">
        <v>253</v>
      </c>
      <c r="E34" t="s">
        <v>254</v>
      </c>
      <c r="F34" t="s">
        <v>19</v>
      </c>
      <c r="G34" t="s">
        <v>255</v>
      </c>
      <c r="H34" t="s">
        <v>22</v>
      </c>
      <c r="I34" t="s">
        <v>22</v>
      </c>
      <c r="J34" t="s">
        <v>22</v>
      </c>
      <c r="K34" t="s">
        <v>255</v>
      </c>
      <c r="L34" t="s">
        <v>256</v>
      </c>
      <c r="M34" t="s">
        <v>257</v>
      </c>
      <c r="N34" t="s">
        <v>258</v>
      </c>
      <c r="O34" t="s">
        <v>855</v>
      </c>
      <c r="P34" t="str" cm="1">
        <f t="array" ref="P34">_xlfn.IFS(ISNUMBER(SEARCH("AEIC:", O34)), "Arkansas",ISNUMBER(SEARCH("STM:", O34)), "Texas",ISNUMBER(SEARCH("BILLING:", O34)), "Texas",ISNUMBER(SEARCH("AM:", O34)), "Texas",ISNUMBER(SEARCH("ARBlvd:", O34)), "Arkansas",ISNUMBER(SEARCH("Atlanta:", O34)), "Texas",ISNUMBER(SEARCH("Blanchard:", O34)), "Louisiana",ISNUMBER(SEARCH("Bryant:", O34)), "Arkansas",ISNUMBER(SEARCH("Choctaw:", O34)), "Oklahoma",ISNUMBER(SEARCH("Choc Allgy:", O34)), "Oklahoma",ISNUMBER(SEARCH("DeQueen:", O34)), "Arkansas",ISNUMBER(SEARCH("Edmond:", O34)), "Oklahoma",ISNUMBER(SEARCH("Edmd Aller:", O34)), "Oklahoma",ISNUMBER(SEARCH("Imaging:", O34)), "Texas",ISNUMBER(SEARCH("Longview:", O34)), "Texas",ISNUMBER(SEARCH("Marshall:", O34)), "Texas",ISNUMBER(SEARCH("Mar Allerg:", O34)), "Texas",ISNUMBER(SEARCH("Maumelle:", O34)), "Arkansas",ISNUMBER(SEARCH("MWC:", O34)), "Oklahoma",ISNUMBER(SEARCH("MWC Allgy:", O34)), "Oklahoma",ISNUMBER(SEARCH("Moore:", O34)), "Oklahoma",ISNUMBER(SEARCH("MooreAllgy:", O34)), "Oklahoma",ISNUMBER(SEARCH("MtPleasant:", O34)), "Texas",ISNUMBER(SEARCH("OccOffsite:", O34)), "Texas",ISNUMBER(SEARCH("Pain Mgmt:", O34)), "Texas",ISNUMBER(SEARCH("Paris:", O34)), "Texas",ISNUMBER(SEARCH("PT:", O34)), "Texas",ISNUMBER(SEARCH("RR Allergy:", O34)), "Texas",ISNUMBER(SEARCH("Sherwood:", O34)), "Arkansas",ISNUMBER(SEARCH("WV:", O34)), "Texas",ISNUMBER(SEARCH("Nur-Home:", O34)), "Texas",ISNUMBER(SEARCH("THC:", O34)), "Texas",ISNUMBER(SEARCH("WVTC:", O34)), "Texas",ISNUMBER(SEARCH("TSC:", O34)), "Texas",ISNUMBER(SEARCH("V-AR Blvd:", O34)), "Arkansas",ISNUMBER(SEARCH("V-Maumelle:", O34)), "Arkansas",ISNUMBER(SEARCH("V-Atlanta:", O34)), "Texas",ISNUMBER(SEARCH("VBlanchard:", O34)), "Louisiana",ISNUMBER(SEARCH("V-Bryant:", O34)), "Arkansas",ISNUMBER(SEARCH("V-Choctaw:", O34)), "Oklahoma",ISNUMBER(SEARCH("V-DeQueen:", O34)), "Arkansas",ISNUMBER(SEARCH("V-Longview:", O34)), "Texas",ISNUMBER(SEARCH("V-Marshall:", O34)), "Texas",ISNUMBER(SEARCH("V-MWC:", O34)), "Oklahoma",ISNUMBER(SEARCH("V-Moore:", O34)), "Oklahoma",ISNUMBER(SEARCH("V-MP:", O34)), "Texas",ISNUMBER(SEARCH("V-Edmond:", O34)), "Oklahoma",ISNUMBER(SEARCH("V-Paris:", O34)), "Texas",ISNUMBER(SEARCH("V-RR:", O34)), "Texas",ISNUMBER(SEARCH("V-Sherwood:", O34)), "Arkansas",ISNUMBER(SEARCH("V-WV:", O34)), "Texas",ISNUMBER(SEARCH("HealthCARE Express - Richmond Road", O34)), "Texas",ISNUMBER(SEARCH("HealthCARE Express - Occupational Medicine", O34)), "Texas")</f>
        <v>Texas</v>
      </c>
      <c r="Q34" t="s">
        <v>841</v>
      </c>
      <c r="R34" t="s">
        <v>868</v>
      </c>
      <c r="S34" t="s">
        <v>254</v>
      </c>
      <c r="T34" t="s">
        <v>913</v>
      </c>
      <c r="AF34" t="str" cm="1">
        <f t="array" ref="AF34">IF(SUMPRODUCT(--ISNUMBER(SEARCH("992",T34:AE34)))&gt;0, "E&amp;M", "No E&amp;M")</f>
        <v>No E&amp;M</v>
      </c>
      <c r="AG34" t="str">
        <f t="shared" si="3"/>
        <v>No E&amp;M</v>
      </c>
      <c r="AH34" t="str">
        <f t="shared" si="4"/>
        <v>No E&amp;M</v>
      </c>
      <c r="AI34" t="str">
        <f t="shared" ref="AI34:AI59" si="5">IF(ISNUMBER(SEARCH("McCrary, D",M34)),"Age Management",IF(ISNUMBER(SEARCH("Stanley, R",M34)),"Age Management",IF(ISNUMBER(SEARCH("Garner, P",M34)),"Little Rock Region",IF(ISNUMBER(SEARCH("Golden, C",M34)),"Little Rock Region",IF(ISNUMBER(SEARCH("Kordsmeier, E",M34)),"Little Rock Region",IF(ISNUMBER(SEARCH("Martin, S",M34)),"Little Rock Region",IF(ISNUMBER(SEARCH("Terrell III, R",M34)),"Little Rock Region",IF(ISNUMBER(SEARCH("Waheed, I",M34)),"Little Rock Region",IF(ISNUMBER(SEARCH("Whitwell, B",M34)),"Little Rock Region",IF(ISNUMBER(SEARCH("Anderson, R",M34)),"Oklahoma",IF(ISNUMBER(SEARCH("Baker, S",M34)),"Oklahoma",IF(ISNUMBER(SEARCH("Bishop, K",M34)),"Oklahoma",IF(ISNUMBER(SEARCH("Davis, C",M34)),"Oklahoma",IF(ISNUMBER(SEARCH("Harrison, J",M34)),"Oklahoma",IF(ISNUMBER(SEARCH("Orico, L",M34)),"Oklahoma",IF(ISNUMBER(SEARCH("Richardson, M",M34)),"Oklahoma",IF(ISNUMBER(SEARCH("Schmiedel, I",M34)),"Oklahoma",IF(ISNUMBER(SEARCH("Sitton, L",M34)),"Oklahoma",IF(ISNUMBER(SEARCH("Smith, C",M34)),"Oklahoma",IF(ISNUMBER(SEARCH("Wenner, T",M34)),"Oklahoma",IF(ISNUMBER(SEARCH("Wright, M",M34)),"Oklahoma",IF(ISNUMBER(SEARCH("Young, R",M34)),"Oklahoma",IF(ISNUMBER(SEARCH("Ayers, A",M34)),"Texas/La/DQ/Ark Blvd",IF(ISNUMBER(SEARCH("Ayers, R",M34)),"Texas/La/DQ/Ark Blvd",IF(ISNUMBER(SEARCH("Bailey, J",M34)),"Texas/La/DQ/Ark Blvd",IF(ISNUMBER(SEARCH("Bennett, C",M34)),"Texas/La/DQ/Ark Blvd",IF(ISNUMBER(SEARCH("Bevill, T",M34)),"Texas/La/DQ/Ark Blvd",IF(ISNUMBER(SEARCH("Bowen, A",M34)),"Texas/La/DQ/Ark Blvd",IF(ISNUMBER(SEARCH("Brandon, M",M34)),"Texas/La/DQ/Ark Blvd",IF(ISNUMBER(SEARCH("Browning, J",M34)),"Texas/La/DQ/Ark Blvd",IF(ISNUMBER(SEARCH("Butts, P",M34)),"Texas/La/DQ/Ark Blvd",IF(ISNUMBER(SEARCH("Caltrider, D",M34)),"Texas/La/DQ/Ark Blvd",IF(ISNUMBER(SEARCH("Colbert, S",M34)),"Texas/La/DQ/Ark Blvd",IF(ISNUMBER(SEARCH("Coyle, H",M34)),"Texas/La/DQ/Ark Blvd",IF(ISNUMBER(SEARCH("Crouthamel, M",M34)),"Texas/La/DQ/Ark Blvd",IF(ISNUMBER(SEARCH("Culbertson, J",M34)),"Texas/La/DQ/Ark Blvd",IF(ISNUMBER(SEARCH("Dailey, S",M34)),"Texas/La/DQ/Ark Blvd",IF(ISNUMBER(SEARCH("Donnelly, S",M34)),"Texas/La/DQ/Ark Blvd",IF(ISNUMBER(SEARCH("Foltz, S",M34)),"Texas/La/DQ/Ark Blvd",IF(ISNUMBER(SEARCH("Foltz, T",M34)),"Texas/La/DQ/Ark Blvd",IF(ISNUMBER(SEARCH("Gallegos, C",M34)),"Texas/La/DQ/Ark Blvd",IF(ISNUMBER(SEARCH("Green, K",M34)),"Texas/La/DQ/Ark Blvd",IF(ISNUMBER(SEARCH("Griffin, P",M34)),"Texas/La/DQ/Ark Blvd",IF(ISNUMBER(SEARCH("Hawthorne, R",M34)),"Texas/La/DQ/Ark Blvd",IF(ISNUMBER(SEARCH("Hickey, P",M34)),"Texas/La/DQ/Ark Blvd",IF(ISNUMBER(SEARCH("Hunter, B",M34)),"Texas/La/DQ/Ark Blvd",IF(ISNUMBER(SEARCH("Hutson, D",M34)),"Texas/La/DQ/Ark Blvd",IF(ISNUMBER(SEARCH("Johnson, B",M34)),"Texas/La/DQ/Ark Blvd",IF(ISNUMBER(SEARCH("McCann, K",M34)),"Texas/La/DQ/Ark Blvd",IF(ISNUMBER(SEARCH("Meredith, P",M34)),"Texas/La/DQ/Ark Blvd",IF(ISNUMBER(SEARCH("Mitchell, J",M34)),"Texas/La/DQ/Ark Blvd",IF(ISNUMBER(SEARCH("Pounds, T",M34)),"Texas/La/DQ/Ark Blvd",IF(ISNUMBER(SEARCH("Redden, K",M34)),"Texas/La/DQ/Ark Blvd",IF(ISNUMBER(SEARCH("Redden, M",M34)),"Texas/La/DQ/Ark Blvd",IF(ISNUMBER(SEARCH("Reynolds, S",M34)),"Texas/La/DQ/Ark Blvd",IF(ISNUMBER(SEARCH("Rolon, K",M34)),"Texas/La/DQ/Ark Blvd",IF(ISNUMBER(SEARCH("Rowe, J",M34)),"Texas/La/DQ/Ark Blvd",IF(ISNUMBER(SEARCH("Russette, R",M34)),"Texas/La/DQ/Ark Blvd",IF(ISNUMBER(SEARCH("West, S",M34)),"Texas/La/DQ/Ark Blvd",IF(ISNUMBER(SEARCH("Burch, J",M34)),"Workers Comp",IF(ISNUMBER(SEARCH("Traylor, T",M34)),"Workers Comp",IF(ISNUMBER(SEARCH("Walls, G",M34)),"Workers Comp","-"))))))))))))))))))))))))))))))))))))))))))))))))))))))))))))))</f>
        <v>Texas/La/DQ/Ark Blvd</v>
      </c>
    </row>
    <row r="35" spans="1:35" x14ac:dyDescent="0.3">
      <c r="A35" t="s">
        <v>259</v>
      </c>
      <c r="B35" t="s">
        <v>218</v>
      </c>
      <c r="C35" t="s">
        <v>260</v>
      </c>
      <c r="D35" t="s">
        <v>261</v>
      </c>
      <c r="E35" t="s">
        <v>39</v>
      </c>
      <c r="F35" t="s">
        <v>19</v>
      </c>
      <c r="G35" t="s">
        <v>262</v>
      </c>
      <c r="H35" t="s">
        <v>22</v>
      </c>
      <c r="I35" t="s">
        <v>22</v>
      </c>
      <c r="J35" t="s">
        <v>22</v>
      </c>
      <c r="K35" t="s">
        <v>262</v>
      </c>
      <c r="L35" t="s">
        <v>263</v>
      </c>
      <c r="M35" t="s">
        <v>264</v>
      </c>
      <c r="N35" t="s">
        <v>261</v>
      </c>
      <c r="O35" t="s">
        <v>896</v>
      </c>
      <c r="P35" t="str" cm="1">
        <f t="array" ref="P35">_xlfn.IFS(ISNUMBER(SEARCH("AEIC:", O35)), "Arkansas",ISNUMBER(SEARCH("STM:", O35)), "Texas",ISNUMBER(SEARCH("BILLING:", O35)), "Texas",ISNUMBER(SEARCH("AM:", O35)), "Texas",ISNUMBER(SEARCH("ARBlvd:", O35)), "Arkansas",ISNUMBER(SEARCH("Atlanta:", O35)), "Texas",ISNUMBER(SEARCH("Blanchard:", O35)), "Louisiana",ISNUMBER(SEARCH("Bryant:", O35)), "Arkansas",ISNUMBER(SEARCH("Choctaw:", O35)), "Oklahoma",ISNUMBER(SEARCH("Choc Allgy:", O35)), "Oklahoma",ISNUMBER(SEARCH("DeQueen:", O35)), "Arkansas",ISNUMBER(SEARCH("Edmond:", O35)), "Oklahoma",ISNUMBER(SEARCH("Edmd Aller:", O35)), "Oklahoma",ISNUMBER(SEARCH("Imaging:", O35)), "Texas",ISNUMBER(SEARCH("Longview:", O35)), "Texas",ISNUMBER(SEARCH("Marshall:", O35)), "Texas",ISNUMBER(SEARCH("Mar Allerg:", O35)), "Texas",ISNUMBER(SEARCH("Maumelle:", O35)), "Arkansas",ISNUMBER(SEARCH("MWC:", O35)), "Oklahoma",ISNUMBER(SEARCH("MWC Allgy:", O35)), "Oklahoma",ISNUMBER(SEARCH("Moore:", O35)), "Oklahoma",ISNUMBER(SEARCH("MooreAllgy:", O35)), "Oklahoma",ISNUMBER(SEARCH("MtPleasant:", O35)), "Texas",ISNUMBER(SEARCH("OccOffsite:", O35)), "Texas",ISNUMBER(SEARCH("Pain Mgmt:", O35)), "Texas",ISNUMBER(SEARCH("Paris:", O35)), "Texas",ISNUMBER(SEARCH("PT:", O35)), "Texas",ISNUMBER(SEARCH("RR Allergy:", O35)), "Texas",ISNUMBER(SEARCH("Sherwood:", O35)), "Arkansas",ISNUMBER(SEARCH("WV:", O35)), "Texas",ISNUMBER(SEARCH("Nur-Home:", O35)), "Texas",ISNUMBER(SEARCH("THC:", O35)), "Texas",ISNUMBER(SEARCH("WVTC:", O35)), "Texas",ISNUMBER(SEARCH("TSC:", O35)), "Texas",ISNUMBER(SEARCH("V-AR Blvd:", O35)), "Arkansas",ISNUMBER(SEARCH("V-Maumelle:", O35)), "Arkansas",ISNUMBER(SEARCH("V-Atlanta:", O35)), "Texas",ISNUMBER(SEARCH("VBlanchard:", O35)), "Louisiana",ISNUMBER(SEARCH("V-Bryant:", O35)), "Arkansas",ISNUMBER(SEARCH("V-Choctaw:", O35)), "Oklahoma",ISNUMBER(SEARCH("V-DeQueen:", O35)), "Arkansas",ISNUMBER(SEARCH("V-Longview:", O35)), "Texas",ISNUMBER(SEARCH("V-Marshall:", O35)), "Texas",ISNUMBER(SEARCH("V-MWC:", O35)), "Oklahoma",ISNUMBER(SEARCH("V-Moore:", O35)), "Oklahoma",ISNUMBER(SEARCH("V-MP:", O35)), "Texas",ISNUMBER(SEARCH("V-Edmond:", O35)), "Oklahoma",ISNUMBER(SEARCH("V-Paris:", O35)), "Texas",ISNUMBER(SEARCH("V-RR:", O35)), "Texas",ISNUMBER(SEARCH("V-Sherwood:", O35)), "Arkansas",ISNUMBER(SEARCH("V-WV:", O35)), "Texas",ISNUMBER(SEARCH("HealthCARE Express - Richmond Road", O35)), "Texas",ISNUMBER(SEARCH("HealthCARE Express - Occupational Medicine", O35)), "Texas")</f>
        <v>Texas</v>
      </c>
      <c r="Q35" t="s">
        <v>841</v>
      </c>
      <c r="R35" t="s">
        <v>856</v>
      </c>
      <c r="S35" t="s">
        <v>39</v>
      </c>
      <c r="T35" t="s">
        <v>914</v>
      </c>
      <c r="AF35" t="str" cm="1">
        <f t="array" ref="AF35">IF(SUMPRODUCT(--ISNUMBER(SEARCH("992",T35:AE35)))&gt;0, "E&amp;M", "No E&amp;M")</f>
        <v>No E&amp;M</v>
      </c>
      <c r="AG35" t="str">
        <f t="shared" si="3"/>
        <v>No E&amp;M</v>
      </c>
      <c r="AH35" t="str">
        <f t="shared" si="4"/>
        <v>No E&amp;M</v>
      </c>
      <c r="AI35" t="str">
        <f t="shared" si="5"/>
        <v>-</v>
      </c>
    </row>
    <row r="36" spans="1:35" x14ac:dyDescent="0.3">
      <c r="A36" t="s">
        <v>265</v>
      </c>
      <c r="B36" t="s">
        <v>218</v>
      </c>
      <c r="C36" t="s">
        <v>53</v>
      </c>
      <c r="D36" t="s">
        <v>266</v>
      </c>
      <c r="E36" t="s">
        <v>96</v>
      </c>
      <c r="F36" t="s">
        <v>19</v>
      </c>
      <c r="G36" t="s">
        <v>267</v>
      </c>
      <c r="H36" t="s">
        <v>268</v>
      </c>
      <c r="I36" t="s">
        <v>22</v>
      </c>
      <c r="J36" t="s">
        <v>22</v>
      </c>
      <c r="K36" t="s">
        <v>269</v>
      </c>
      <c r="L36" t="s">
        <v>270</v>
      </c>
      <c r="M36" t="s">
        <v>57</v>
      </c>
      <c r="N36" t="s">
        <v>266</v>
      </c>
      <c r="O36" t="s">
        <v>858</v>
      </c>
      <c r="P36" t="str" cm="1">
        <f t="array" ref="P36">_xlfn.IFS(ISNUMBER(SEARCH("AEIC:", O36)), "Arkansas",ISNUMBER(SEARCH("STM:", O36)), "Texas",ISNUMBER(SEARCH("BILLING:", O36)), "Texas",ISNUMBER(SEARCH("AM:", O36)), "Texas",ISNUMBER(SEARCH("ARBlvd:", O36)), "Arkansas",ISNUMBER(SEARCH("Atlanta:", O36)), "Texas",ISNUMBER(SEARCH("Blanchard:", O36)), "Louisiana",ISNUMBER(SEARCH("Bryant:", O36)), "Arkansas",ISNUMBER(SEARCH("Choctaw:", O36)), "Oklahoma",ISNUMBER(SEARCH("Choc Allgy:", O36)), "Oklahoma",ISNUMBER(SEARCH("DeQueen:", O36)), "Arkansas",ISNUMBER(SEARCH("Edmond:", O36)), "Oklahoma",ISNUMBER(SEARCH("Edmd Aller:", O36)), "Oklahoma",ISNUMBER(SEARCH("Imaging:", O36)), "Texas",ISNUMBER(SEARCH("Longview:", O36)), "Texas",ISNUMBER(SEARCH("Marshall:", O36)), "Texas",ISNUMBER(SEARCH("Mar Allerg:", O36)), "Texas",ISNUMBER(SEARCH("Maumelle:", O36)), "Arkansas",ISNUMBER(SEARCH("MWC:", O36)), "Oklahoma",ISNUMBER(SEARCH("MWC Allgy:", O36)), "Oklahoma",ISNUMBER(SEARCH("Moore:", O36)), "Oklahoma",ISNUMBER(SEARCH("MooreAllgy:", O36)), "Oklahoma",ISNUMBER(SEARCH("MtPleasant:", O36)), "Texas",ISNUMBER(SEARCH("OccOffsite:", O36)), "Texas",ISNUMBER(SEARCH("Pain Mgmt:", O36)), "Texas",ISNUMBER(SEARCH("Paris:", O36)), "Texas",ISNUMBER(SEARCH("PT:", O36)), "Texas",ISNUMBER(SEARCH("RR Allergy:", O36)), "Texas",ISNUMBER(SEARCH("Sherwood:", O36)), "Arkansas",ISNUMBER(SEARCH("WV:", O36)), "Texas",ISNUMBER(SEARCH("Nur-Home:", O36)), "Texas",ISNUMBER(SEARCH("THC:", O36)), "Texas",ISNUMBER(SEARCH("WVTC:", O36)), "Texas",ISNUMBER(SEARCH("TSC:", O36)), "Texas",ISNUMBER(SEARCH("V-AR Blvd:", O36)), "Arkansas",ISNUMBER(SEARCH("V-Maumelle:", O36)), "Arkansas",ISNUMBER(SEARCH("V-Atlanta:", O36)), "Texas",ISNUMBER(SEARCH("VBlanchard:", O36)), "Louisiana",ISNUMBER(SEARCH("V-Bryant:", O36)), "Arkansas",ISNUMBER(SEARCH("V-Choctaw:", O36)), "Oklahoma",ISNUMBER(SEARCH("V-DeQueen:", O36)), "Arkansas",ISNUMBER(SEARCH("V-Longview:", O36)), "Texas",ISNUMBER(SEARCH("V-Marshall:", O36)), "Texas",ISNUMBER(SEARCH("V-MWC:", O36)), "Oklahoma",ISNUMBER(SEARCH("V-Moore:", O36)), "Oklahoma",ISNUMBER(SEARCH("V-MP:", O36)), "Texas",ISNUMBER(SEARCH("V-Edmond:", O36)), "Oklahoma",ISNUMBER(SEARCH("V-Paris:", O36)), "Texas",ISNUMBER(SEARCH("V-RR:", O36)), "Texas",ISNUMBER(SEARCH("V-Sherwood:", O36)), "Arkansas",ISNUMBER(SEARCH("V-WV:", O36)), "Texas",ISNUMBER(SEARCH("HealthCARE Express - Richmond Road", O36)), "Texas",ISNUMBER(SEARCH("HealthCARE Express - Occupational Medicine", O36)), "Texas")</f>
        <v>Texas</v>
      </c>
      <c r="Q36" t="s">
        <v>869</v>
      </c>
      <c r="R36" t="s">
        <v>879</v>
      </c>
      <c r="S36" t="s">
        <v>96</v>
      </c>
      <c r="T36" t="s">
        <v>848</v>
      </c>
      <c r="U36" t="s">
        <v>843</v>
      </c>
      <c r="V36" t="s">
        <v>849</v>
      </c>
      <c r="AF36" t="str" cm="1">
        <f t="array" ref="AF36">IF(SUMPRODUCT(--ISNUMBER(SEARCH("992",T36:AE36)))&gt;0, "E&amp;M", "No E&amp;M")</f>
        <v>E&amp;M</v>
      </c>
      <c r="AG36" t="str">
        <f t="shared" si="3"/>
        <v>99214</v>
      </c>
      <c r="AH36" t="str">
        <f t="shared" si="4"/>
        <v>Estd. Patient</v>
      </c>
      <c r="AI36" t="str">
        <f t="shared" si="5"/>
        <v>Texas/La/DQ/Ark Blvd</v>
      </c>
    </row>
    <row r="37" spans="1:35" x14ac:dyDescent="0.3">
      <c r="A37" t="s">
        <v>271</v>
      </c>
      <c r="B37" t="s">
        <v>218</v>
      </c>
      <c r="C37" t="s">
        <v>272</v>
      </c>
      <c r="D37" t="s">
        <v>273</v>
      </c>
      <c r="E37" t="s">
        <v>148</v>
      </c>
      <c r="F37" t="s">
        <v>19</v>
      </c>
      <c r="G37" t="s">
        <v>274</v>
      </c>
      <c r="H37" t="s">
        <v>22</v>
      </c>
      <c r="I37" t="s">
        <v>22</v>
      </c>
      <c r="J37" t="s">
        <v>22</v>
      </c>
      <c r="K37" t="s">
        <v>274</v>
      </c>
      <c r="L37" t="s">
        <v>275</v>
      </c>
      <c r="M37" t="s">
        <v>276</v>
      </c>
      <c r="N37" t="s">
        <v>277</v>
      </c>
      <c r="O37" t="s">
        <v>871</v>
      </c>
      <c r="P37" t="str" cm="1">
        <f t="array" ref="P37">_xlfn.IFS(ISNUMBER(SEARCH("AEIC:", O37)), "Arkansas",ISNUMBER(SEARCH("STM:", O37)), "Texas",ISNUMBER(SEARCH("BILLING:", O37)), "Texas",ISNUMBER(SEARCH("AM:", O37)), "Texas",ISNUMBER(SEARCH("ARBlvd:", O37)), "Arkansas",ISNUMBER(SEARCH("Atlanta:", O37)), "Texas",ISNUMBER(SEARCH("Blanchard:", O37)), "Louisiana",ISNUMBER(SEARCH("Bryant:", O37)), "Arkansas",ISNUMBER(SEARCH("Choctaw:", O37)), "Oklahoma",ISNUMBER(SEARCH("Choc Allgy:", O37)), "Oklahoma",ISNUMBER(SEARCH("DeQueen:", O37)), "Arkansas",ISNUMBER(SEARCH("Edmond:", O37)), "Oklahoma",ISNUMBER(SEARCH("Edmd Aller:", O37)), "Oklahoma",ISNUMBER(SEARCH("Imaging:", O37)), "Texas",ISNUMBER(SEARCH("Longview:", O37)), "Texas",ISNUMBER(SEARCH("Marshall:", O37)), "Texas",ISNUMBER(SEARCH("Mar Allerg:", O37)), "Texas",ISNUMBER(SEARCH("Maumelle:", O37)), "Arkansas",ISNUMBER(SEARCH("MWC:", O37)), "Oklahoma",ISNUMBER(SEARCH("MWC Allgy:", O37)), "Oklahoma",ISNUMBER(SEARCH("Moore:", O37)), "Oklahoma",ISNUMBER(SEARCH("MooreAllgy:", O37)), "Oklahoma",ISNUMBER(SEARCH("MtPleasant:", O37)), "Texas",ISNUMBER(SEARCH("OccOffsite:", O37)), "Texas",ISNUMBER(SEARCH("Pain Mgmt:", O37)), "Texas",ISNUMBER(SEARCH("Paris:", O37)), "Texas",ISNUMBER(SEARCH("PT:", O37)), "Texas",ISNUMBER(SEARCH("RR Allergy:", O37)), "Texas",ISNUMBER(SEARCH("Sherwood:", O37)), "Arkansas",ISNUMBER(SEARCH("WV:", O37)), "Texas",ISNUMBER(SEARCH("Nur-Home:", O37)), "Texas",ISNUMBER(SEARCH("THC:", O37)), "Texas",ISNUMBER(SEARCH("WVTC:", O37)), "Texas",ISNUMBER(SEARCH("TSC:", O37)), "Texas",ISNUMBER(SEARCH("V-AR Blvd:", O37)), "Arkansas",ISNUMBER(SEARCH("V-Maumelle:", O37)), "Arkansas",ISNUMBER(SEARCH("V-Atlanta:", O37)), "Texas",ISNUMBER(SEARCH("VBlanchard:", O37)), "Louisiana",ISNUMBER(SEARCH("V-Bryant:", O37)), "Arkansas",ISNUMBER(SEARCH("V-Choctaw:", O37)), "Oklahoma",ISNUMBER(SEARCH("V-DeQueen:", O37)), "Arkansas",ISNUMBER(SEARCH("V-Longview:", O37)), "Texas",ISNUMBER(SEARCH("V-Marshall:", O37)), "Texas",ISNUMBER(SEARCH("V-MWC:", O37)), "Oklahoma",ISNUMBER(SEARCH("V-Moore:", O37)), "Oklahoma",ISNUMBER(SEARCH("V-MP:", O37)), "Texas",ISNUMBER(SEARCH("V-Edmond:", O37)), "Oklahoma",ISNUMBER(SEARCH("V-Paris:", O37)), "Texas",ISNUMBER(SEARCH("V-RR:", O37)), "Texas",ISNUMBER(SEARCH("V-Sherwood:", O37)), "Arkansas",ISNUMBER(SEARCH("V-WV:", O37)), "Texas",ISNUMBER(SEARCH("HealthCARE Express - Richmond Road", O37)), "Texas",ISNUMBER(SEARCH("HealthCARE Express - Occupational Medicine", O37)), "Texas")</f>
        <v>Oklahoma</v>
      </c>
      <c r="Q37" t="s">
        <v>841</v>
      </c>
      <c r="R37" t="s">
        <v>847</v>
      </c>
      <c r="S37" t="s">
        <v>148</v>
      </c>
      <c r="T37" t="s">
        <v>848</v>
      </c>
      <c r="U37" t="s">
        <v>864</v>
      </c>
      <c r="AF37" t="str" cm="1">
        <f t="array" ref="AF37">IF(SUMPRODUCT(--ISNUMBER(SEARCH("992",T37:AE37)))&gt;0, "E&amp;M", "No E&amp;M")</f>
        <v>E&amp;M</v>
      </c>
      <c r="AG37" t="str">
        <f t="shared" si="3"/>
        <v>99214</v>
      </c>
      <c r="AH37" t="str">
        <f t="shared" si="4"/>
        <v>Estd. Patient</v>
      </c>
      <c r="AI37" t="str">
        <f t="shared" si="5"/>
        <v>-</v>
      </c>
    </row>
    <row r="38" spans="1:35" x14ac:dyDescent="0.3">
      <c r="A38" t="s">
        <v>278</v>
      </c>
      <c r="B38" t="s">
        <v>218</v>
      </c>
      <c r="C38" t="s">
        <v>279</v>
      </c>
      <c r="D38" t="s">
        <v>280</v>
      </c>
      <c r="E38" t="s">
        <v>281</v>
      </c>
      <c r="F38" t="s">
        <v>19</v>
      </c>
      <c r="G38" t="s">
        <v>282</v>
      </c>
      <c r="H38" t="s">
        <v>79</v>
      </c>
      <c r="I38" t="s">
        <v>22</v>
      </c>
      <c r="J38" t="s">
        <v>22</v>
      </c>
      <c r="K38" t="s">
        <v>283</v>
      </c>
      <c r="L38" t="s">
        <v>284</v>
      </c>
      <c r="M38" t="s">
        <v>285</v>
      </c>
      <c r="N38" t="s">
        <v>286</v>
      </c>
      <c r="O38" t="s">
        <v>878</v>
      </c>
      <c r="P38" t="str" cm="1">
        <f t="array" ref="P38">_xlfn.IFS(ISNUMBER(SEARCH("AEIC:", O38)), "Arkansas",ISNUMBER(SEARCH("STM:", O38)), "Texas",ISNUMBER(SEARCH("BILLING:", O38)), "Texas",ISNUMBER(SEARCH("AM:", O38)), "Texas",ISNUMBER(SEARCH("ARBlvd:", O38)), "Arkansas",ISNUMBER(SEARCH("Atlanta:", O38)), "Texas",ISNUMBER(SEARCH("Blanchard:", O38)), "Louisiana",ISNUMBER(SEARCH("Bryant:", O38)), "Arkansas",ISNUMBER(SEARCH("Choctaw:", O38)), "Oklahoma",ISNUMBER(SEARCH("Choc Allgy:", O38)), "Oklahoma",ISNUMBER(SEARCH("DeQueen:", O38)), "Arkansas",ISNUMBER(SEARCH("Edmond:", O38)), "Oklahoma",ISNUMBER(SEARCH("Edmd Aller:", O38)), "Oklahoma",ISNUMBER(SEARCH("Imaging:", O38)), "Texas",ISNUMBER(SEARCH("Longview:", O38)), "Texas",ISNUMBER(SEARCH("Marshall:", O38)), "Texas",ISNUMBER(SEARCH("Mar Allerg:", O38)), "Texas",ISNUMBER(SEARCH("Maumelle:", O38)), "Arkansas",ISNUMBER(SEARCH("MWC:", O38)), "Oklahoma",ISNUMBER(SEARCH("MWC Allgy:", O38)), "Oklahoma",ISNUMBER(SEARCH("Moore:", O38)), "Oklahoma",ISNUMBER(SEARCH("MooreAllgy:", O38)), "Oklahoma",ISNUMBER(SEARCH("MtPleasant:", O38)), "Texas",ISNUMBER(SEARCH("OccOffsite:", O38)), "Texas",ISNUMBER(SEARCH("Pain Mgmt:", O38)), "Texas",ISNUMBER(SEARCH("Paris:", O38)), "Texas",ISNUMBER(SEARCH("PT:", O38)), "Texas",ISNUMBER(SEARCH("RR Allergy:", O38)), "Texas",ISNUMBER(SEARCH("Sherwood:", O38)), "Arkansas",ISNUMBER(SEARCH("WV:", O38)), "Texas",ISNUMBER(SEARCH("Nur-Home:", O38)), "Texas",ISNUMBER(SEARCH("THC:", O38)), "Texas",ISNUMBER(SEARCH("WVTC:", O38)), "Texas",ISNUMBER(SEARCH("TSC:", O38)), "Texas",ISNUMBER(SEARCH("V-AR Blvd:", O38)), "Arkansas",ISNUMBER(SEARCH("V-Maumelle:", O38)), "Arkansas",ISNUMBER(SEARCH("V-Atlanta:", O38)), "Texas",ISNUMBER(SEARCH("VBlanchard:", O38)), "Louisiana",ISNUMBER(SEARCH("V-Bryant:", O38)), "Arkansas",ISNUMBER(SEARCH("V-Choctaw:", O38)), "Oklahoma",ISNUMBER(SEARCH("V-DeQueen:", O38)), "Arkansas",ISNUMBER(SEARCH("V-Longview:", O38)), "Texas",ISNUMBER(SEARCH("V-Marshall:", O38)), "Texas",ISNUMBER(SEARCH("V-MWC:", O38)), "Oklahoma",ISNUMBER(SEARCH("V-Moore:", O38)), "Oklahoma",ISNUMBER(SEARCH("V-MP:", O38)), "Texas",ISNUMBER(SEARCH("V-Edmond:", O38)), "Oklahoma",ISNUMBER(SEARCH("V-Paris:", O38)), "Texas",ISNUMBER(SEARCH("V-RR:", O38)), "Texas",ISNUMBER(SEARCH("V-Sherwood:", O38)), "Arkansas",ISNUMBER(SEARCH("V-WV:", O38)), "Texas",ISNUMBER(SEARCH("HealthCARE Express - Richmond Road", O38)), "Texas",ISNUMBER(SEARCH("HealthCARE Express - Occupational Medicine", O38)), "Texas")</f>
        <v>Arkansas</v>
      </c>
      <c r="Q38" t="s">
        <v>869</v>
      </c>
      <c r="R38" t="s">
        <v>879</v>
      </c>
      <c r="S38" t="s">
        <v>281</v>
      </c>
      <c r="T38" t="s">
        <v>848</v>
      </c>
      <c r="U38" t="s">
        <v>880</v>
      </c>
      <c r="V38" t="s">
        <v>873</v>
      </c>
      <c r="W38" t="s">
        <v>864</v>
      </c>
      <c r="AF38" t="str" cm="1">
        <f t="array" ref="AF38">IF(SUMPRODUCT(--ISNUMBER(SEARCH("992",T38:AE38)))&gt;0, "E&amp;M", "No E&amp;M")</f>
        <v>E&amp;M</v>
      </c>
      <c r="AG38" t="str">
        <f t="shared" si="3"/>
        <v>99214</v>
      </c>
      <c r="AH38" t="str">
        <f t="shared" si="4"/>
        <v>Estd. Patient</v>
      </c>
      <c r="AI38" t="str">
        <f t="shared" si="5"/>
        <v>-</v>
      </c>
    </row>
    <row r="39" spans="1:35" x14ac:dyDescent="0.3">
      <c r="A39" t="s">
        <v>287</v>
      </c>
      <c r="B39" t="s">
        <v>218</v>
      </c>
      <c r="C39" t="s">
        <v>53</v>
      </c>
      <c r="D39" t="s">
        <v>288</v>
      </c>
      <c r="E39" t="s">
        <v>30</v>
      </c>
      <c r="F39" t="s">
        <v>19</v>
      </c>
      <c r="G39" t="s">
        <v>289</v>
      </c>
      <c r="H39" t="s">
        <v>22</v>
      </c>
      <c r="I39" t="s">
        <v>22</v>
      </c>
      <c r="J39" t="s">
        <v>22</v>
      </c>
      <c r="K39" t="s">
        <v>289</v>
      </c>
      <c r="L39" t="s">
        <v>290</v>
      </c>
      <c r="M39" t="s">
        <v>57</v>
      </c>
      <c r="N39" t="s">
        <v>288</v>
      </c>
      <c r="O39" t="s">
        <v>858</v>
      </c>
      <c r="P39" t="str" cm="1">
        <f t="array" ref="P39">_xlfn.IFS(ISNUMBER(SEARCH("AEIC:", O39)), "Arkansas",ISNUMBER(SEARCH("STM:", O39)), "Texas",ISNUMBER(SEARCH("BILLING:", O39)), "Texas",ISNUMBER(SEARCH("AM:", O39)), "Texas",ISNUMBER(SEARCH("ARBlvd:", O39)), "Arkansas",ISNUMBER(SEARCH("Atlanta:", O39)), "Texas",ISNUMBER(SEARCH("Blanchard:", O39)), "Louisiana",ISNUMBER(SEARCH("Bryant:", O39)), "Arkansas",ISNUMBER(SEARCH("Choctaw:", O39)), "Oklahoma",ISNUMBER(SEARCH("Choc Allgy:", O39)), "Oklahoma",ISNUMBER(SEARCH("DeQueen:", O39)), "Arkansas",ISNUMBER(SEARCH("Edmond:", O39)), "Oklahoma",ISNUMBER(SEARCH("Edmd Aller:", O39)), "Oklahoma",ISNUMBER(SEARCH("Imaging:", O39)), "Texas",ISNUMBER(SEARCH("Longview:", O39)), "Texas",ISNUMBER(SEARCH("Marshall:", O39)), "Texas",ISNUMBER(SEARCH("Mar Allerg:", O39)), "Texas",ISNUMBER(SEARCH("Maumelle:", O39)), "Arkansas",ISNUMBER(SEARCH("MWC:", O39)), "Oklahoma",ISNUMBER(SEARCH("MWC Allgy:", O39)), "Oklahoma",ISNUMBER(SEARCH("Moore:", O39)), "Oklahoma",ISNUMBER(SEARCH("MooreAllgy:", O39)), "Oklahoma",ISNUMBER(SEARCH("MtPleasant:", O39)), "Texas",ISNUMBER(SEARCH("OccOffsite:", O39)), "Texas",ISNUMBER(SEARCH("Pain Mgmt:", O39)), "Texas",ISNUMBER(SEARCH("Paris:", O39)), "Texas",ISNUMBER(SEARCH("PT:", O39)), "Texas",ISNUMBER(SEARCH("RR Allergy:", O39)), "Texas",ISNUMBER(SEARCH("Sherwood:", O39)), "Arkansas",ISNUMBER(SEARCH("WV:", O39)), "Texas",ISNUMBER(SEARCH("Nur-Home:", O39)), "Texas",ISNUMBER(SEARCH("THC:", O39)), "Texas",ISNUMBER(SEARCH("WVTC:", O39)), "Texas",ISNUMBER(SEARCH("TSC:", O39)), "Texas",ISNUMBER(SEARCH("V-AR Blvd:", O39)), "Arkansas",ISNUMBER(SEARCH("V-Maumelle:", O39)), "Arkansas",ISNUMBER(SEARCH("V-Atlanta:", O39)), "Texas",ISNUMBER(SEARCH("VBlanchard:", O39)), "Louisiana",ISNUMBER(SEARCH("V-Bryant:", O39)), "Arkansas",ISNUMBER(SEARCH("V-Choctaw:", O39)), "Oklahoma",ISNUMBER(SEARCH("V-DeQueen:", O39)), "Arkansas",ISNUMBER(SEARCH("V-Longview:", O39)), "Texas",ISNUMBER(SEARCH("V-Marshall:", O39)), "Texas",ISNUMBER(SEARCH("V-MWC:", O39)), "Oklahoma",ISNUMBER(SEARCH("V-Moore:", O39)), "Oklahoma",ISNUMBER(SEARCH("V-MP:", O39)), "Texas",ISNUMBER(SEARCH("V-Edmond:", O39)), "Oklahoma",ISNUMBER(SEARCH("V-Paris:", O39)), "Texas",ISNUMBER(SEARCH("V-RR:", O39)), "Texas",ISNUMBER(SEARCH("V-Sherwood:", O39)), "Arkansas",ISNUMBER(SEARCH("V-WV:", O39)), "Texas",ISNUMBER(SEARCH("HealthCARE Express - Richmond Road", O39)), "Texas",ISNUMBER(SEARCH("HealthCARE Express - Occupational Medicine", O39)), "Texas")</f>
        <v>Texas</v>
      </c>
      <c r="Q39" t="s">
        <v>841</v>
      </c>
      <c r="R39" t="s">
        <v>847</v>
      </c>
      <c r="S39" t="s">
        <v>30</v>
      </c>
      <c r="T39" t="s">
        <v>848</v>
      </c>
      <c r="U39" t="s">
        <v>915</v>
      </c>
      <c r="V39" t="s">
        <v>916</v>
      </c>
      <c r="AF39" t="str" cm="1">
        <f t="array" ref="AF39">IF(SUMPRODUCT(--ISNUMBER(SEARCH("992",T39:AE39)))&gt;0, "E&amp;M", "No E&amp;M")</f>
        <v>E&amp;M</v>
      </c>
      <c r="AG39" t="str">
        <f t="shared" si="3"/>
        <v>99214</v>
      </c>
      <c r="AH39" t="str">
        <f t="shared" si="4"/>
        <v>Estd. Patient</v>
      </c>
      <c r="AI39" t="str">
        <f t="shared" si="5"/>
        <v>Texas/La/DQ/Ark Blvd</v>
      </c>
    </row>
    <row r="40" spans="1:35" x14ac:dyDescent="0.3">
      <c r="A40" t="s">
        <v>291</v>
      </c>
      <c r="B40" t="s">
        <v>218</v>
      </c>
      <c r="C40" t="s">
        <v>16</v>
      </c>
      <c r="D40" t="s">
        <v>292</v>
      </c>
      <c r="E40" t="s">
        <v>77</v>
      </c>
      <c r="F40" t="s">
        <v>19</v>
      </c>
      <c r="G40" t="s">
        <v>46</v>
      </c>
      <c r="H40" t="s">
        <v>79</v>
      </c>
      <c r="I40" t="s">
        <v>22</v>
      </c>
      <c r="J40" t="s">
        <v>22</v>
      </c>
      <c r="K40" t="s">
        <v>293</v>
      </c>
      <c r="L40" t="s">
        <v>294</v>
      </c>
      <c r="M40" t="s">
        <v>25</v>
      </c>
      <c r="N40" t="s">
        <v>292</v>
      </c>
      <c r="O40" t="s">
        <v>839</v>
      </c>
      <c r="P40" t="str" cm="1">
        <f t="array" ref="P40">_xlfn.IFS(ISNUMBER(SEARCH("AEIC:", O40)), "Arkansas",ISNUMBER(SEARCH("STM:", O40)), "Texas",ISNUMBER(SEARCH("BILLING:", O40)), "Texas",ISNUMBER(SEARCH("AM:", O40)), "Texas",ISNUMBER(SEARCH("ARBlvd:", O40)), "Arkansas",ISNUMBER(SEARCH("Atlanta:", O40)), "Texas",ISNUMBER(SEARCH("Blanchard:", O40)), "Louisiana",ISNUMBER(SEARCH("Bryant:", O40)), "Arkansas",ISNUMBER(SEARCH("Choctaw:", O40)), "Oklahoma",ISNUMBER(SEARCH("Choc Allgy:", O40)), "Oklahoma",ISNUMBER(SEARCH("DeQueen:", O40)), "Arkansas",ISNUMBER(SEARCH("Edmond:", O40)), "Oklahoma",ISNUMBER(SEARCH("Edmd Aller:", O40)), "Oklahoma",ISNUMBER(SEARCH("Imaging:", O40)), "Texas",ISNUMBER(SEARCH("Longview:", O40)), "Texas",ISNUMBER(SEARCH("Marshall:", O40)), "Texas",ISNUMBER(SEARCH("Mar Allerg:", O40)), "Texas",ISNUMBER(SEARCH("Maumelle:", O40)), "Arkansas",ISNUMBER(SEARCH("MWC:", O40)), "Oklahoma",ISNUMBER(SEARCH("MWC Allgy:", O40)), "Oklahoma",ISNUMBER(SEARCH("Moore:", O40)), "Oklahoma",ISNUMBER(SEARCH("MooreAllgy:", O40)), "Oklahoma",ISNUMBER(SEARCH("MtPleasant:", O40)), "Texas",ISNUMBER(SEARCH("OccOffsite:", O40)), "Texas",ISNUMBER(SEARCH("Pain Mgmt:", O40)), "Texas",ISNUMBER(SEARCH("Paris:", O40)), "Texas",ISNUMBER(SEARCH("PT:", O40)), "Texas",ISNUMBER(SEARCH("RR Allergy:", O40)), "Texas",ISNUMBER(SEARCH("Sherwood:", O40)), "Arkansas",ISNUMBER(SEARCH("WV:", O40)), "Texas",ISNUMBER(SEARCH("Nur-Home:", O40)), "Texas",ISNUMBER(SEARCH("THC:", O40)), "Texas",ISNUMBER(SEARCH("WVTC:", O40)), "Texas",ISNUMBER(SEARCH("TSC:", O40)), "Texas",ISNUMBER(SEARCH("V-AR Blvd:", O40)), "Arkansas",ISNUMBER(SEARCH("V-Maumelle:", O40)), "Arkansas",ISNUMBER(SEARCH("V-Atlanta:", O40)), "Texas",ISNUMBER(SEARCH("VBlanchard:", O40)), "Louisiana",ISNUMBER(SEARCH("V-Bryant:", O40)), "Arkansas",ISNUMBER(SEARCH("V-Choctaw:", O40)), "Oklahoma",ISNUMBER(SEARCH("V-DeQueen:", O40)), "Arkansas",ISNUMBER(SEARCH("V-Longview:", O40)), "Texas",ISNUMBER(SEARCH("V-Marshall:", O40)), "Texas",ISNUMBER(SEARCH("V-MWC:", O40)), "Oklahoma",ISNUMBER(SEARCH("V-Moore:", O40)), "Oklahoma",ISNUMBER(SEARCH("V-MP:", O40)), "Texas",ISNUMBER(SEARCH("V-Edmond:", O40)), "Oklahoma",ISNUMBER(SEARCH("V-Paris:", O40)), "Texas",ISNUMBER(SEARCH("V-RR:", O40)), "Texas",ISNUMBER(SEARCH("V-Sherwood:", O40)), "Arkansas",ISNUMBER(SEARCH("V-WV:", O40)), "Texas",ISNUMBER(SEARCH("HealthCARE Express - Richmond Road", O40)), "Texas",ISNUMBER(SEARCH("HealthCARE Express - Occupational Medicine", O40)), "Texas")</f>
        <v>Louisiana</v>
      </c>
      <c r="Q40" t="s">
        <v>869</v>
      </c>
      <c r="R40" t="s">
        <v>868</v>
      </c>
      <c r="S40" t="s">
        <v>77</v>
      </c>
      <c r="T40" t="s">
        <v>893</v>
      </c>
      <c r="AF40" t="str" cm="1">
        <f t="array" ref="AF40">IF(SUMPRODUCT(--ISNUMBER(SEARCH("992",T40:AE40)))&gt;0, "E&amp;M", "No E&amp;M")</f>
        <v>E&amp;M</v>
      </c>
      <c r="AG40" t="str">
        <f t="shared" si="3"/>
        <v>99203</v>
      </c>
      <c r="AH40" t="str">
        <f t="shared" si="4"/>
        <v>New Patient</v>
      </c>
      <c r="AI40" t="str">
        <f t="shared" si="5"/>
        <v>Texas/La/DQ/Ark Blvd</v>
      </c>
    </row>
    <row r="41" spans="1:35" x14ac:dyDescent="0.3">
      <c r="A41" t="s">
        <v>295</v>
      </c>
      <c r="B41" t="s">
        <v>296</v>
      </c>
      <c r="C41" t="s">
        <v>297</v>
      </c>
      <c r="D41" t="s">
        <v>298</v>
      </c>
      <c r="E41" t="s">
        <v>299</v>
      </c>
      <c r="F41" t="s">
        <v>19</v>
      </c>
      <c r="G41" t="s">
        <v>300</v>
      </c>
      <c r="H41" t="s">
        <v>301</v>
      </c>
      <c r="I41" t="s">
        <v>22</v>
      </c>
      <c r="J41" t="s">
        <v>22</v>
      </c>
      <c r="K41" t="s">
        <v>302</v>
      </c>
      <c r="L41" t="s">
        <v>303</v>
      </c>
      <c r="M41" t="s">
        <v>304</v>
      </c>
      <c r="N41" t="s">
        <v>305</v>
      </c>
      <c r="O41" t="s">
        <v>885</v>
      </c>
      <c r="P41" t="str" cm="1">
        <f t="array" ref="P41">_xlfn.IFS(ISNUMBER(SEARCH("AEIC:", O41)), "Arkansas",ISNUMBER(SEARCH("STM:", O41)), "Texas",ISNUMBER(SEARCH("BILLING:", O41)), "Texas",ISNUMBER(SEARCH("AM:", O41)), "Texas",ISNUMBER(SEARCH("ARBlvd:", O41)), "Arkansas",ISNUMBER(SEARCH("Atlanta:", O41)), "Texas",ISNUMBER(SEARCH("Blanchard:", O41)), "Louisiana",ISNUMBER(SEARCH("Bryant:", O41)), "Arkansas",ISNUMBER(SEARCH("Choctaw:", O41)), "Oklahoma",ISNUMBER(SEARCH("Choc Allgy:", O41)), "Oklahoma",ISNUMBER(SEARCH("DeQueen:", O41)), "Arkansas",ISNUMBER(SEARCH("Edmond:", O41)), "Oklahoma",ISNUMBER(SEARCH("Edmd Aller:", O41)), "Oklahoma",ISNUMBER(SEARCH("Imaging:", O41)), "Texas",ISNUMBER(SEARCH("Longview:", O41)), "Texas",ISNUMBER(SEARCH("Marshall:", O41)), "Texas",ISNUMBER(SEARCH("Mar Allerg:", O41)), "Texas",ISNUMBER(SEARCH("Maumelle:", O41)), "Arkansas",ISNUMBER(SEARCH("MWC:", O41)), "Oklahoma",ISNUMBER(SEARCH("MWC Allgy:", O41)), "Oklahoma",ISNUMBER(SEARCH("Moore:", O41)), "Oklahoma",ISNUMBER(SEARCH("MooreAllgy:", O41)), "Oklahoma",ISNUMBER(SEARCH("MtPleasant:", O41)), "Texas",ISNUMBER(SEARCH("OccOffsite:", O41)), "Texas",ISNUMBER(SEARCH("Pain Mgmt:", O41)), "Texas",ISNUMBER(SEARCH("Paris:", O41)), "Texas",ISNUMBER(SEARCH("PT:", O41)), "Texas",ISNUMBER(SEARCH("RR Allergy:", O41)), "Texas",ISNUMBER(SEARCH("Sherwood:", O41)), "Arkansas",ISNUMBER(SEARCH("WV:", O41)), "Texas",ISNUMBER(SEARCH("Nur-Home:", O41)), "Texas",ISNUMBER(SEARCH("THC:", O41)), "Texas",ISNUMBER(SEARCH("WVTC:", O41)), "Texas",ISNUMBER(SEARCH("TSC:", O41)), "Texas",ISNUMBER(SEARCH("V-AR Blvd:", O41)), "Arkansas",ISNUMBER(SEARCH("V-Maumelle:", O41)), "Arkansas",ISNUMBER(SEARCH("V-Atlanta:", O41)), "Texas",ISNUMBER(SEARCH("VBlanchard:", O41)), "Louisiana",ISNUMBER(SEARCH("V-Bryant:", O41)), "Arkansas",ISNUMBER(SEARCH("V-Choctaw:", O41)), "Oklahoma",ISNUMBER(SEARCH("V-DeQueen:", O41)), "Arkansas",ISNUMBER(SEARCH("V-Longview:", O41)), "Texas",ISNUMBER(SEARCH("V-Marshall:", O41)), "Texas",ISNUMBER(SEARCH("V-MWC:", O41)), "Oklahoma",ISNUMBER(SEARCH("V-Moore:", O41)), "Oklahoma",ISNUMBER(SEARCH("V-MP:", O41)), "Texas",ISNUMBER(SEARCH("V-Edmond:", O41)), "Oklahoma",ISNUMBER(SEARCH("V-Paris:", O41)), "Texas",ISNUMBER(SEARCH("V-RR:", O41)), "Texas",ISNUMBER(SEARCH("V-Sherwood:", O41)), "Arkansas",ISNUMBER(SEARCH("V-WV:", O41)), "Texas",ISNUMBER(SEARCH("HealthCARE Express - Richmond Road", O41)), "Texas",ISNUMBER(SEARCH("HealthCARE Express - Occupational Medicine", O41)), "Texas")</f>
        <v>Texas</v>
      </c>
      <c r="Q41" t="s">
        <v>841</v>
      </c>
      <c r="R41" t="s">
        <v>856</v>
      </c>
      <c r="S41" t="s">
        <v>299</v>
      </c>
      <c r="T41" t="s">
        <v>848</v>
      </c>
      <c r="U41" t="s">
        <v>843</v>
      </c>
      <c r="V41" t="s">
        <v>899</v>
      </c>
      <c r="W41" t="s">
        <v>875</v>
      </c>
      <c r="X41" t="s">
        <v>873</v>
      </c>
      <c r="Y41" t="s">
        <v>844</v>
      </c>
      <c r="Z41" t="s">
        <v>864</v>
      </c>
      <c r="AA41" t="s">
        <v>845</v>
      </c>
      <c r="AF41" t="str" cm="1">
        <f t="array" ref="AF41">IF(SUMPRODUCT(--ISNUMBER(SEARCH("992",T41:AE41)))&gt;0, "E&amp;M", "No E&amp;M")</f>
        <v>E&amp;M</v>
      </c>
      <c r="AG41" t="str">
        <f t="shared" si="3"/>
        <v>99214</v>
      </c>
      <c r="AH41" t="str">
        <f t="shared" si="4"/>
        <v>Estd. Patient</v>
      </c>
      <c r="AI41" t="str">
        <f t="shared" si="5"/>
        <v>Texas/La/DQ/Ark Blvd</v>
      </c>
    </row>
    <row r="42" spans="1:35" x14ac:dyDescent="0.3">
      <c r="A42" t="s">
        <v>306</v>
      </c>
      <c r="B42" t="s">
        <v>296</v>
      </c>
      <c r="C42" t="s">
        <v>53</v>
      </c>
      <c r="D42" t="s">
        <v>307</v>
      </c>
      <c r="E42" t="s">
        <v>299</v>
      </c>
      <c r="F42" t="s">
        <v>19</v>
      </c>
      <c r="G42" t="s">
        <v>308</v>
      </c>
      <c r="H42" t="s">
        <v>309</v>
      </c>
      <c r="I42" t="s">
        <v>22</v>
      </c>
      <c r="J42" t="s">
        <v>22</v>
      </c>
      <c r="K42" t="s">
        <v>310</v>
      </c>
      <c r="L42" t="s">
        <v>311</v>
      </c>
      <c r="M42" t="s">
        <v>57</v>
      </c>
      <c r="N42" t="s">
        <v>312</v>
      </c>
      <c r="O42" t="s">
        <v>858</v>
      </c>
      <c r="P42" t="str" cm="1">
        <f t="array" ref="P42">_xlfn.IFS(ISNUMBER(SEARCH("AEIC:", O42)), "Arkansas",ISNUMBER(SEARCH("STM:", O42)), "Texas",ISNUMBER(SEARCH("BILLING:", O42)), "Texas",ISNUMBER(SEARCH("AM:", O42)), "Texas",ISNUMBER(SEARCH("ARBlvd:", O42)), "Arkansas",ISNUMBER(SEARCH("Atlanta:", O42)), "Texas",ISNUMBER(SEARCH("Blanchard:", O42)), "Louisiana",ISNUMBER(SEARCH("Bryant:", O42)), "Arkansas",ISNUMBER(SEARCH("Choctaw:", O42)), "Oklahoma",ISNUMBER(SEARCH("Choc Allgy:", O42)), "Oklahoma",ISNUMBER(SEARCH("DeQueen:", O42)), "Arkansas",ISNUMBER(SEARCH("Edmond:", O42)), "Oklahoma",ISNUMBER(SEARCH("Edmd Aller:", O42)), "Oklahoma",ISNUMBER(SEARCH("Imaging:", O42)), "Texas",ISNUMBER(SEARCH("Longview:", O42)), "Texas",ISNUMBER(SEARCH("Marshall:", O42)), "Texas",ISNUMBER(SEARCH("Mar Allerg:", O42)), "Texas",ISNUMBER(SEARCH("Maumelle:", O42)), "Arkansas",ISNUMBER(SEARCH("MWC:", O42)), "Oklahoma",ISNUMBER(SEARCH("MWC Allgy:", O42)), "Oklahoma",ISNUMBER(SEARCH("Moore:", O42)), "Oklahoma",ISNUMBER(SEARCH("MooreAllgy:", O42)), "Oklahoma",ISNUMBER(SEARCH("MtPleasant:", O42)), "Texas",ISNUMBER(SEARCH("OccOffsite:", O42)), "Texas",ISNUMBER(SEARCH("Pain Mgmt:", O42)), "Texas",ISNUMBER(SEARCH("Paris:", O42)), "Texas",ISNUMBER(SEARCH("PT:", O42)), "Texas",ISNUMBER(SEARCH("RR Allergy:", O42)), "Texas",ISNUMBER(SEARCH("Sherwood:", O42)), "Arkansas",ISNUMBER(SEARCH("WV:", O42)), "Texas",ISNUMBER(SEARCH("Nur-Home:", O42)), "Texas",ISNUMBER(SEARCH("THC:", O42)), "Texas",ISNUMBER(SEARCH("WVTC:", O42)), "Texas",ISNUMBER(SEARCH("TSC:", O42)), "Texas",ISNUMBER(SEARCH("V-AR Blvd:", O42)), "Arkansas",ISNUMBER(SEARCH("V-Maumelle:", O42)), "Arkansas",ISNUMBER(SEARCH("V-Atlanta:", O42)), "Texas",ISNUMBER(SEARCH("VBlanchard:", O42)), "Louisiana",ISNUMBER(SEARCH("V-Bryant:", O42)), "Arkansas",ISNUMBER(SEARCH("V-Choctaw:", O42)), "Oklahoma",ISNUMBER(SEARCH("V-DeQueen:", O42)), "Arkansas",ISNUMBER(SEARCH("V-Longview:", O42)), "Texas",ISNUMBER(SEARCH("V-Marshall:", O42)), "Texas",ISNUMBER(SEARCH("V-MWC:", O42)), "Oklahoma",ISNUMBER(SEARCH("V-Moore:", O42)), "Oklahoma",ISNUMBER(SEARCH("V-MP:", O42)), "Texas",ISNUMBER(SEARCH("V-Edmond:", O42)), "Oklahoma",ISNUMBER(SEARCH("V-Paris:", O42)), "Texas",ISNUMBER(SEARCH("V-RR:", O42)), "Texas",ISNUMBER(SEARCH("V-Sherwood:", O42)), "Arkansas",ISNUMBER(SEARCH("V-WV:", O42)), "Texas",ISNUMBER(SEARCH("HealthCARE Express - Richmond Road", O42)), "Texas",ISNUMBER(SEARCH("HealthCARE Express - Occupational Medicine", O42)), "Texas")</f>
        <v>Texas</v>
      </c>
      <c r="Q42" t="s">
        <v>841</v>
      </c>
      <c r="R42" t="s">
        <v>856</v>
      </c>
      <c r="S42" t="s">
        <v>299</v>
      </c>
      <c r="T42" t="s">
        <v>848</v>
      </c>
      <c r="U42" t="s">
        <v>917</v>
      </c>
      <c r="V42" t="s">
        <v>844</v>
      </c>
      <c r="W42" t="s">
        <v>918</v>
      </c>
      <c r="AF42" t="str" cm="1">
        <f t="array" ref="AF42">IF(SUMPRODUCT(--ISNUMBER(SEARCH("992",T42:AE42)))&gt;0, "E&amp;M", "No E&amp;M")</f>
        <v>E&amp;M</v>
      </c>
      <c r="AG42" t="str">
        <f t="shared" si="3"/>
        <v>99214</v>
      </c>
      <c r="AH42" t="str">
        <f t="shared" si="4"/>
        <v>Estd. Patient</v>
      </c>
      <c r="AI42" t="str">
        <f t="shared" si="5"/>
        <v>Texas/La/DQ/Ark Blvd</v>
      </c>
    </row>
    <row r="43" spans="1:35" x14ac:dyDescent="0.3">
      <c r="A43" t="s">
        <v>313</v>
      </c>
      <c r="B43" t="s">
        <v>296</v>
      </c>
      <c r="C43" t="s">
        <v>94</v>
      </c>
      <c r="D43" t="s">
        <v>314</v>
      </c>
      <c r="E43" t="s">
        <v>148</v>
      </c>
      <c r="F43" t="s">
        <v>19</v>
      </c>
      <c r="G43" t="s">
        <v>315</v>
      </c>
      <c r="H43" t="s">
        <v>22</v>
      </c>
      <c r="I43" t="s">
        <v>22</v>
      </c>
      <c r="J43" t="s">
        <v>22</v>
      </c>
      <c r="K43" t="s">
        <v>315</v>
      </c>
      <c r="L43" t="s">
        <v>316</v>
      </c>
      <c r="M43" t="s">
        <v>101</v>
      </c>
      <c r="N43" t="s">
        <v>317</v>
      </c>
      <c r="O43" t="s">
        <v>890</v>
      </c>
      <c r="P43" t="str" cm="1">
        <f t="array" ref="P43">_xlfn.IFS(ISNUMBER(SEARCH("AEIC:", O43)), "Arkansas",ISNUMBER(SEARCH("STM:", O43)), "Texas",ISNUMBER(SEARCH("BILLING:", O43)), "Texas",ISNUMBER(SEARCH("AM:", O43)), "Texas",ISNUMBER(SEARCH("ARBlvd:", O43)), "Arkansas",ISNUMBER(SEARCH("Atlanta:", O43)), "Texas",ISNUMBER(SEARCH("Blanchard:", O43)), "Louisiana",ISNUMBER(SEARCH("Bryant:", O43)), "Arkansas",ISNUMBER(SEARCH("Choctaw:", O43)), "Oklahoma",ISNUMBER(SEARCH("Choc Allgy:", O43)), "Oklahoma",ISNUMBER(SEARCH("DeQueen:", O43)), "Arkansas",ISNUMBER(SEARCH("Edmond:", O43)), "Oklahoma",ISNUMBER(SEARCH("Edmd Aller:", O43)), "Oklahoma",ISNUMBER(SEARCH("Imaging:", O43)), "Texas",ISNUMBER(SEARCH("Longview:", O43)), "Texas",ISNUMBER(SEARCH("Marshall:", O43)), "Texas",ISNUMBER(SEARCH("Mar Allerg:", O43)), "Texas",ISNUMBER(SEARCH("Maumelle:", O43)), "Arkansas",ISNUMBER(SEARCH("MWC:", O43)), "Oklahoma",ISNUMBER(SEARCH("MWC Allgy:", O43)), "Oklahoma",ISNUMBER(SEARCH("Moore:", O43)), "Oklahoma",ISNUMBER(SEARCH("MooreAllgy:", O43)), "Oklahoma",ISNUMBER(SEARCH("MtPleasant:", O43)), "Texas",ISNUMBER(SEARCH("OccOffsite:", O43)), "Texas",ISNUMBER(SEARCH("Pain Mgmt:", O43)), "Texas",ISNUMBER(SEARCH("Paris:", O43)), "Texas",ISNUMBER(SEARCH("PT:", O43)), "Texas",ISNUMBER(SEARCH("RR Allergy:", O43)), "Texas",ISNUMBER(SEARCH("Sherwood:", O43)), "Arkansas",ISNUMBER(SEARCH("WV:", O43)), "Texas",ISNUMBER(SEARCH("Nur-Home:", O43)), "Texas",ISNUMBER(SEARCH("THC:", O43)), "Texas",ISNUMBER(SEARCH("WVTC:", O43)), "Texas",ISNUMBER(SEARCH("TSC:", O43)), "Texas",ISNUMBER(SEARCH("V-AR Blvd:", O43)), "Arkansas",ISNUMBER(SEARCH("V-Maumelle:", O43)), "Arkansas",ISNUMBER(SEARCH("V-Atlanta:", O43)), "Texas",ISNUMBER(SEARCH("VBlanchard:", O43)), "Louisiana",ISNUMBER(SEARCH("V-Bryant:", O43)), "Arkansas",ISNUMBER(SEARCH("V-Choctaw:", O43)), "Oklahoma",ISNUMBER(SEARCH("V-DeQueen:", O43)), "Arkansas",ISNUMBER(SEARCH("V-Longview:", O43)), "Texas",ISNUMBER(SEARCH("V-Marshall:", O43)), "Texas",ISNUMBER(SEARCH("V-MWC:", O43)), "Oklahoma",ISNUMBER(SEARCH("V-Moore:", O43)), "Oklahoma",ISNUMBER(SEARCH("V-MP:", O43)), "Texas",ISNUMBER(SEARCH("V-Edmond:", O43)), "Oklahoma",ISNUMBER(SEARCH("V-Paris:", O43)), "Texas",ISNUMBER(SEARCH("V-RR:", O43)), "Texas",ISNUMBER(SEARCH("V-Sherwood:", O43)), "Arkansas",ISNUMBER(SEARCH("V-WV:", O43)), "Texas",ISNUMBER(SEARCH("HealthCARE Express - Richmond Road", O43)), "Texas",ISNUMBER(SEARCH("HealthCARE Express - Occupational Medicine", O43)), "Texas")</f>
        <v>Arkansas</v>
      </c>
      <c r="Q43" t="s">
        <v>841</v>
      </c>
      <c r="R43" t="s">
        <v>847</v>
      </c>
      <c r="S43" t="s">
        <v>148</v>
      </c>
      <c r="T43" t="s">
        <v>848</v>
      </c>
      <c r="U43" t="s">
        <v>889</v>
      </c>
      <c r="V43" t="s">
        <v>844</v>
      </c>
      <c r="W43" t="s">
        <v>845</v>
      </c>
      <c r="AF43" t="str" cm="1">
        <f t="array" ref="AF43">IF(SUMPRODUCT(--ISNUMBER(SEARCH("992",T43:AE43)))&gt;0, "E&amp;M", "No E&amp;M")</f>
        <v>E&amp;M</v>
      </c>
      <c r="AG43" t="str">
        <f t="shared" si="3"/>
        <v>99214</v>
      </c>
      <c r="AH43" t="str">
        <f t="shared" si="4"/>
        <v>Estd. Patient</v>
      </c>
      <c r="AI43" t="str">
        <f t="shared" si="5"/>
        <v>Texas/La/DQ/Ark Blvd</v>
      </c>
    </row>
    <row r="44" spans="1:35" x14ac:dyDescent="0.3">
      <c r="A44" t="s">
        <v>318</v>
      </c>
      <c r="B44" t="s">
        <v>296</v>
      </c>
      <c r="C44" t="s">
        <v>297</v>
      </c>
      <c r="D44" t="s">
        <v>319</v>
      </c>
      <c r="E44" t="s">
        <v>299</v>
      </c>
      <c r="F44" t="s">
        <v>19</v>
      </c>
      <c r="G44" t="s">
        <v>162</v>
      </c>
      <c r="H44" t="s">
        <v>79</v>
      </c>
      <c r="I44" t="s">
        <v>22</v>
      </c>
      <c r="J44" t="s">
        <v>22</v>
      </c>
      <c r="K44" t="s">
        <v>320</v>
      </c>
      <c r="L44" t="s">
        <v>321</v>
      </c>
      <c r="M44" t="s">
        <v>304</v>
      </c>
      <c r="N44" t="s">
        <v>322</v>
      </c>
      <c r="O44" t="s">
        <v>885</v>
      </c>
      <c r="P44" t="str" cm="1">
        <f t="array" ref="P44">_xlfn.IFS(ISNUMBER(SEARCH("AEIC:", O44)), "Arkansas",ISNUMBER(SEARCH("STM:", O44)), "Texas",ISNUMBER(SEARCH("BILLING:", O44)), "Texas",ISNUMBER(SEARCH("AM:", O44)), "Texas",ISNUMBER(SEARCH("ARBlvd:", O44)), "Arkansas",ISNUMBER(SEARCH("Atlanta:", O44)), "Texas",ISNUMBER(SEARCH("Blanchard:", O44)), "Louisiana",ISNUMBER(SEARCH("Bryant:", O44)), "Arkansas",ISNUMBER(SEARCH("Choctaw:", O44)), "Oklahoma",ISNUMBER(SEARCH("Choc Allgy:", O44)), "Oklahoma",ISNUMBER(SEARCH("DeQueen:", O44)), "Arkansas",ISNUMBER(SEARCH("Edmond:", O44)), "Oklahoma",ISNUMBER(SEARCH("Edmd Aller:", O44)), "Oklahoma",ISNUMBER(SEARCH("Imaging:", O44)), "Texas",ISNUMBER(SEARCH("Longview:", O44)), "Texas",ISNUMBER(SEARCH("Marshall:", O44)), "Texas",ISNUMBER(SEARCH("Mar Allerg:", O44)), "Texas",ISNUMBER(SEARCH("Maumelle:", O44)), "Arkansas",ISNUMBER(SEARCH("MWC:", O44)), "Oklahoma",ISNUMBER(SEARCH("MWC Allgy:", O44)), "Oklahoma",ISNUMBER(SEARCH("Moore:", O44)), "Oklahoma",ISNUMBER(SEARCH("MooreAllgy:", O44)), "Oklahoma",ISNUMBER(SEARCH("MtPleasant:", O44)), "Texas",ISNUMBER(SEARCH("OccOffsite:", O44)), "Texas",ISNUMBER(SEARCH("Pain Mgmt:", O44)), "Texas",ISNUMBER(SEARCH("Paris:", O44)), "Texas",ISNUMBER(SEARCH("PT:", O44)), "Texas",ISNUMBER(SEARCH("RR Allergy:", O44)), "Texas",ISNUMBER(SEARCH("Sherwood:", O44)), "Arkansas",ISNUMBER(SEARCH("WV:", O44)), "Texas",ISNUMBER(SEARCH("Nur-Home:", O44)), "Texas",ISNUMBER(SEARCH("THC:", O44)), "Texas",ISNUMBER(SEARCH("WVTC:", O44)), "Texas",ISNUMBER(SEARCH("TSC:", O44)), "Texas",ISNUMBER(SEARCH("V-AR Blvd:", O44)), "Arkansas",ISNUMBER(SEARCH("V-Maumelle:", O44)), "Arkansas",ISNUMBER(SEARCH("V-Atlanta:", O44)), "Texas",ISNUMBER(SEARCH("VBlanchard:", O44)), "Louisiana",ISNUMBER(SEARCH("V-Bryant:", O44)), "Arkansas",ISNUMBER(SEARCH("V-Choctaw:", O44)), "Oklahoma",ISNUMBER(SEARCH("V-DeQueen:", O44)), "Arkansas",ISNUMBER(SEARCH("V-Longview:", O44)), "Texas",ISNUMBER(SEARCH("V-Marshall:", O44)), "Texas",ISNUMBER(SEARCH("V-MWC:", O44)), "Oklahoma",ISNUMBER(SEARCH("V-Moore:", O44)), "Oklahoma",ISNUMBER(SEARCH("V-MP:", O44)), "Texas",ISNUMBER(SEARCH("V-Edmond:", O44)), "Oklahoma",ISNUMBER(SEARCH("V-Paris:", O44)), "Texas",ISNUMBER(SEARCH("V-RR:", O44)), "Texas",ISNUMBER(SEARCH("V-Sherwood:", O44)), "Arkansas",ISNUMBER(SEARCH("V-WV:", O44)), "Texas",ISNUMBER(SEARCH("HealthCARE Express - Richmond Road", O44)), "Texas",ISNUMBER(SEARCH("HealthCARE Express - Occupational Medicine", O44)), "Texas")</f>
        <v>Texas</v>
      </c>
      <c r="Q44" t="s">
        <v>841</v>
      </c>
      <c r="R44" t="s">
        <v>856</v>
      </c>
      <c r="S44" t="s">
        <v>299</v>
      </c>
      <c r="T44" t="s">
        <v>893</v>
      </c>
      <c r="AF44" t="str" cm="1">
        <f t="array" ref="AF44">IF(SUMPRODUCT(--ISNUMBER(SEARCH("992",T44:AE44)))&gt;0, "E&amp;M", "No E&amp;M")</f>
        <v>E&amp;M</v>
      </c>
      <c r="AG44" t="str">
        <f t="shared" si="3"/>
        <v>99203</v>
      </c>
      <c r="AH44" t="str">
        <f t="shared" si="4"/>
        <v>New Patient</v>
      </c>
      <c r="AI44" t="str">
        <f t="shared" si="5"/>
        <v>Texas/La/DQ/Ark Blvd</v>
      </c>
    </row>
    <row r="45" spans="1:35" x14ac:dyDescent="0.3">
      <c r="A45" t="s">
        <v>323</v>
      </c>
      <c r="B45" t="s">
        <v>296</v>
      </c>
      <c r="C45" t="s">
        <v>297</v>
      </c>
      <c r="D45" t="s">
        <v>324</v>
      </c>
      <c r="E45" t="s">
        <v>30</v>
      </c>
      <c r="F45" t="s">
        <v>19</v>
      </c>
      <c r="G45" t="s">
        <v>267</v>
      </c>
      <c r="H45" t="s">
        <v>22</v>
      </c>
      <c r="I45" t="s">
        <v>22</v>
      </c>
      <c r="J45" t="s">
        <v>22</v>
      </c>
      <c r="K45" t="s">
        <v>267</v>
      </c>
      <c r="L45" t="s">
        <v>325</v>
      </c>
      <c r="M45" t="s">
        <v>304</v>
      </c>
      <c r="N45" t="s">
        <v>324</v>
      </c>
      <c r="O45" t="s">
        <v>885</v>
      </c>
      <c r="P45" t="str" cm="1">
        <f t="array" ref="P45">_xlfn.IFS(ISNUMBER(SEARCH("AEIC:", O45)), "Arkansas",ISNUMBER(SEARCH("STM:", O45)), "Texas",ISNUMBER(SEARCH("BILLING:", O45)), "Texas",ISNUMBER(SEARCH("AM:", O45)), "Texas",ISNUMBER(SEARCH("ARBlvd:", O45)), "Arkansas",ISNUMBER(SEARCH("Atlanta:", O45)), "Texas",ISNUMBER(SEARCH("Blanchard:", O45)), "Louisiana",ISNUMBER(SEARCH("Bryant:", O45)), "Arkansas",ISNUMBER(SEARCH("Choctaw:", O45)), "Oklahoma",ISNUMBER(SEARCH("Choc Allgy:", O45)), "Oklahoma",ISNUMBER(SEARCH("DeQueen:", O45)), "Arkansas",ISNUMBER(SEARCH("Edmond:", O45)), "Oklahoma",ISNUMBER(SEARCH("Edmd Aller:", O45)), "Oklahoma",ISNUMBER(SEARCH("Imaging:", O45)), "Texas",ISNUMBER(SEARCH("Longview:", O45)), "Texas",ISNUMBER(SEARCH("Marshall:", O45)), "Texas",ISNUMBER(SEARCH("Mar Allerg:", O45)), "Texas",ISNUMBER(SEARCH("Maumelle:", O45)), "Arkansas",ISNUMBER(SEARCH("MWC:", O45)), "Oklahoma",ISNUMBER(SEARCH("MWC Allgy:", O45)), "Oklahoma",ISNUMBER(SEARCH("Moore:", O45)), "Oklahoma",ISNUMBER(SEARCH("MooreAllgy:", O45)), "Oklahoma",ISNUMBER(SEARCH("MtPleasant:", O45)), "Texas",ISNUMBER(SEARCH("OccOffsite:", O45)), "Texas",ISNUMBER(SEARCH("Pain Mgmt:", O45)), "Texas",ISNUMBER(SEARCH("Paris:", O45)), "Texas",ISNUMBER(SEARCH("PT:", O45)), "Texas",ISNUMBER(SEARCH("RR Allergy:", O45)), "Texas",ISNUMBER(SEARCH("Sherwood:", O45)), "Arkansas",ISNUMBER(SEARCH("WV:", O45)), "Texas",ISNUMBER(SEARCH("Nur-Home:", O45)), "Texas",ISNUMBER(SEARCH("THC:", O45)), "Texas",ISNUMBER(SEARCH("WVTC:", O45)), "Texas",ISNUMBER(SEARCH("TSC:", O45)), "Texas",ISNUMBER(SEARCH("V-AR Blvd:", O45)), "Arkansas",ISNUMBER(SEARCH("V-Maumelle:", O45)), "Arkansas",ISNUMBER(SEARCH("V-Atlanta:", O45)), "Texas",ISNUMBER(SEARCH("VBlanchard:", O45)), "Louisiana",ISNUMBER(SEARCH("V-Bryant:", O45)), "Arkansas",ISNUMBER(SEARCH("V-Choctaw:", O45)), "Oklahoma",ISNUMBER(SEARCH("V-DeQueen:", O45)), "Arkansas",ISNUMBER(SEARCH("V-Longview:", O45)), "Texas",ISNUMBER(SEARCH("V-Marshall:", O45)), "Texas",ISNUMBER(SEARCH("V-MWC:", O45)), "Oklahoma",ISNUMBER(SEARCH("V-Moore:", O45)), "Oklahoma",ISNUMBER(SEARCH("V-MP:", O45)), "Texas",ISNUMBER(SEARCH("V-Edmond:", O45)), "Oklahoma",ISNUMBER(SEARCH("V-Paris:", O45)), "Texas",ISNUMBER(SEARCH("V-RR:", O45)), "Texas",ISNUMBER(SEARCH("V-Sherwood:", O45)), "Arkansas",ISNUMBER(SEARCH("V-WV:", O45)), "Texas",ISNUMBER(SEARCH("HealthCARE Express - Richmond Road", O45)), "Texas",ISNUMBER(SEARCH("HealthCARE Express - Occupational Medicine", O45)), "Texas")</f>
        <v>Texas</v>
      </c>
      <c r="Q45" t="s">
        <v>841</v>
      </c>
      <c r="R45" t="s">
        <v>847</v>
      </c>
      <c r="S45" t="s">
        <v>30</v>
      </c>
      <c r="T45" t="s">
        <v>848</v>
      </c>
      <c r="U45" t="s">
        <v>843</v>
      </c>
      <c r="V45" t="s">
        <v>873</v>
      </c>
      <c r="W45" t="s">
        <v>844</v>
      </c>
      <c r="X45" t="s">
        <v>918</v>
      </c>
      <c r="AF45" t="str" cm="1">
        <f t="array" ref="AF45">IF(SUMPRODUCT(--ISNUMBER(SEARCH("992",T45:AE45)))&gt;0, "E&amp;M", "No E&amp;M")</f>
        <v>E&amp;M</v>
      </c>
      <c r="AG45" t="str">
        <f t="shared" si="3"/>
        <v>99214</v>
      </c>
      <c r="AH45" t="str">
        <f t="shared" si="4"/>
        <v>Estd. Patient</v>
      </c>
      <c r="AI45" t="str">
        <f t="shared" si="5"/>
        <v>Texas/La/DQ/Ark Blvd</v>
      </c>
    </row>
    <row r="46" spans="1:35" x14ac:dyDescent="0.3">
      <c r="A46" t="s">
        <v>326</v>
      </c>
      <c r="B46" t="s">
        <v>296</v>
      </c>
      <c r="C46" t="s">
        <v>109</v>
      </c>
      <c r="D46" t="s">
        <v>327</v>
      </c>
      <c r="E46" t="s">
        <v>328</v>
      </c>
      <c r="F46" t="s">
        <v>19</v>
      </c>
      <c r="G46" t="s">
        <v>329</v>
      </c>
      <c r="H46" t="s">
        <v>62</v>
      </c>
      <c r="I46" t="s">
        <v>22</v>
      </c>
      <c r="J46" t="s">
        <v>22</v>
      </c>
      <c r="K46" t="s">
        <v>330</v>
      </c>
      <c r="L46" t="s">
        <v>331</v>
      </c>
      <c r="M46" t="s">
        <v>113</v>
      </c>
      <c r="N46" t="s">
        <v>332</v>
      </c>
      <c r="O46" t="s">
        <v>883</v>
      </c>
      <c r="P46" t="str" cm="1">
        <f t="array" ref="P46">_xlfn.IFS(ISNUMBER(SEARCH("AEIC:", O46)), "Arkansas",ISNUMBER(SEARCH("STM:", O46)), "Texas",ISNUMBER(SEARCH("BILLING:", O46)), "Texas",ISNUMBER(SEARCH("AM:", O46)), "Texas",ISNUMBER(SEARCH("ARBlvd:", O46)), "Arkansas",ISNUMBER(SEARCH("Atlanta:", O46)), "Texas",ISNUMBER(SEARCH("Blanchard:", O46)), "Louisiana",ISNUMBER(SEARCH("Bryant:", O46)), "Arkansas",ISNUMBER(SEARCH("Choctaw:", O46)), "Oklahoma",ISNUMBER(SEARCH("Choc Allgy:", O46)), "Oklahoma",ISNUMBER(SEARCH("DeQueen:", O46)), "Arkansas",ISNUMBER(SEARCH("Edmond:", O46)), "Oklahoma",ISNUMBER(SEARCH("Edmd Aller:", O46)), "Oklahoma",ISNUMBER(SEARCH("Imaging:", O46)), "Texas",ISNUMBER(SEARCH("Longview:", O46)), "Texas",ISNUMBER(SEARCH("Marshall:", O46)), "Texas",ISNUMBER(SEARCH("Mar Allerg:", O46)), "Texas",ISNUMBER(SEARCH("Maumelle:", O46)), "Arkansas",ISNUMBER(SEARCH("MWC:", O46)), "Oklahoma",ISNUMBER(SEARCH("MWC Allgy:", O46)), "Oklahoma",ISNUMBER(SEARCH("Moore:", O46)), "Oklahoma",ISNUMBER(SEARCH("MooreAllgy:", O46)), "Oklahoma",ISNUMBER(SEARCH("MtPleasant:", O46)), "Texas",ISNUMBER(SEARCH("OccOffsite:", O46)), "Texas",ISNUMBER(SEARCH("Pain Mgmt:", O46)), "Texas",ISNUMBER(SEARCH("Paris:", O46)), "Texas",ISNUMBER(SEARCH("PT:", O46)), "Texas",ISNUMBER(SEARCH("RR Allergy:", O46)), "Texas",ISNUMBER(SEARCH("Sherwood:", O46)), "Arkansas",ISNUMBER(SEARCH("WV:", O46)), "Texas",ISNUMBER(SEARCH("Nur-Home:", O46)), "Texas",ISNUMBER(SEARCH("THC:", O46)), "Texas",ISNUMBER(SEARCH("WVTC:", O46)), "Texas",ISNUMBER(SEARCH("TSC:", O46)), "Texas",ISNUMBER(SEARCH("V-AR Blvd:", O46)), "Arkansas",ISNUMBER(SEARCH("V-Maumelle:", O46)), "Arkansas",ISNUMBER(SEARCH("V-Atlanta:", O46)), "Texas",ISNUMBER(SEARCH("VBlanchard:", O46)), "Louisiana",ISNUMBER(SEARCH("V-Bryant:", O46)), "Arkansas",ISNUMBER(SEARCH("V-Choctaw:", O46)), "Oklahoma",ISNUMBER(SEARCH("V-DeQueen:", O46)), "Arkansas",ISNUMBER(SEARCH("V-Longview:", O46)), "Texas",ISNUMBER(SEARCH("V-Marshall:", O46)), "Texas",ISNUMBER(SEARCH("V-MWC:", O46)), "Oklahoma",ISNUMBER(SEARCH("V-Moore:", O46)), "Oklahoma",ISNUMBER(SEARCH("V-MP:", O46)), "Texas",ISNUMBER(SEARCH("V-Edmond:", O46)), "Oklahoma",ISNUMBER(SEARCH("V-Paris:", O46)), "Texas",ISNUMBER(SEARCH("V-RR:", O46)), "Texas",ISNUMBER(SEARCH("V-Sherwood:", O46)), "Arkansas",ISNUMBER(SEARCH("V-WV:", O46)), "Texas",ISNUMBER(SEARCH("HealthCARE Express - Richmond Road", O46)), "Texas",ISNUMBER(SEARCH("HealthCARE Express - Occupational Medicine", O46)), "Texas")</f>
        <v>Arkansas</v>
      </c>
      <c r="Q46" t="s">
        <v>841</v>
      </c>
      <c r="R46" t="s">
        <v>882</v>
      </c>
      <c r="S46" t="s">
        <v>328</v>
      </c>
      <c r="T46" t="s">
        <v>857</v>
      </c>
      <c r="U46" t="s">
        <v>880</v>
      </c>
      <c r="V46" t="s">
        <v>873</v>
      </c>
      <c r="AF46" t="str" cm="1">
        <f t="array" ref="AF46">IF(SUMPRODUCT(--ISNUMBER(SEARCH("992",T46:AE46)))&gt;0, "E&amp;M", "No E&amp;M")</f>
        <v>E&amp;M</v>
      </c>
      <c r="AG46" t="str">
        <f t="shared" si="3"/>
        <v>99204</v>
      </c>
      <c r="AH46" t="str">
        <f t="shared" si="4"/>
        <v>New Patient</v>
      </c>
      <c r="AI46" t="str">
        <f t="shared" si="5"/>
        <v>Little Rock Region</v>
      </c>
    </row>
    <row r="47" spans="1:35" x14ac:dyDescent="0.3">
      <c r="A47" t="s">
        <v>333</v>
      </c>
      <c r="B47" t="s">
        <v>296</v>
      </c>
      <c r="C47" t="s">
        <v>94</v>
      </c>
      <c r="D47" t="s">
        <v>334</v>
      </c>
      <c r="E47" t="s">
        <v>335</v>
      </c>
      <c r="F47" t="s">
        <v>19</v>
      </c>
      <c r="G47" t="s">
        <v>336</v>
      </c>
      <c r="H47" t="s">
        <v>117</v>
      </c>
      <c r="I47" t="s">
        <v>22</v>
      </c>
      <c r="J47" t="s">
        <v>22</v>
      </c>
      <c r="K47" t="s">
        <v>337</v>
      </c>
      <c r="L47" t="s">
        <v>338</v>
      </c>
      <c r="M47" t="s">
        <v>101</v>
      </c>
      <c r="N47" t="s">
        <v>339</v>
      </c>
      <c r="O47" t="s">
        <v>890</v>
      </c>
      <c r="P47" t="str" cm="1">
        <f t="array" ref="P47">_xlfn.IFS(ISNUMBER(SEARCH("AEIC:", O47)), "Arkansas",ISNUMBER(SEARCH("STM:", O47)), "Texas",ISNUMBER(SEARCH("BILLING:", O47)), "Texas",ISNUMBER(SEARCH("AM:", O47)), "Texas",ISNUMBER(SEARCH("ARBlvd:", O47)), "Arkansas",ISNUMBER(SEARCH("Atlanta:", O47)), "Texas",ISNUMBER(SEARCH("Blanchard:", O47)), "Louisiana",ISNUMBER(SEARCH("Bryant:", O47)), "Arkansas",ISNUMBER(SEARCH("Choctaw:", O47)), "Oklahoma",ISNUMBER(SEARCH("Choc Allgy:", O47)), "Oklahoma",ISNUMBER(SEARCH("DeQueen:", O47)), "Arkansas",ISNUMBER(SEARCH("Edmond:", O47)), "Oklahoma",ISNUMBER(SEARCH("Edmd Aller:", O47)), "Oklahoma",ISNUMBER(SEARCH("Imaging:", O47)), "Texas",ISNUMBER(SEARCH("Longview:", O47)), "Texas",ISNUMBER(SEARCH("Marshall:", O47)), "Texas",ISNUMBER(SEARCH("Mar Allerg:", O47)), "Texas",ISNUMBER(SEARCH("Maumelle:", O47)), "Arkansas",ISNUMBER(SEARCH("MWC:", O47)), "Oklahoma",ISNUMBER(SEARCH("MWC Allgy:", O47)), "Oklahoma",ISNUMBER(SEARCH("Moore:", O47)), "Oklahoma",ISNUMBER(SEARCH("MooreAllgy:", O47)), "Oklahoma",ISNUMBER(SEARCH("MtPleasant:", O47)), "Texas",ISNUMBER(SEARCH("OccOffsite:", O47)), "Texas",ISNUMBER(SEARCH("Pain Mgmt:", O47)), "Texas",ISNUMBER(SEARCH("Paris:", O47)), "Texas",ISNUMBER(SEARCH("PT:", O47)), "Texas",ISNUMBER(SEARCH("RR Allergy:", O47)), "Texas",ISNUMBER(SEARCH("Sherwood:", O47)), "Arkansas",ISNUMBER(SEARCH("WV:", O47)), "Texas",ISNUMBER(SEARCH("Nur-Home:", O47)), "Texas",ISNUMBER(SEARCH("THC:", O47)), "Texas",ISNUMBER(SEARCH("WVTC:", O47)), "Texas",ISNUMBER(SEARCH("TSC:", O47)), "Texas",ISNUMBER(SEARCH("V-AR Blvd:", O47)), "Arkansas",ISNUMBER(SEARCH("V-Maumelle:", O47)), "Arkansas",ISNUMBER(SEARCH("V-Atlanta:", O47)), "Texas",ISNUMBER(SEARCH("VBlanchard:", O47)), "Louisiana",ISNUMBER(SEARCH("V-Bryant:", O47)), "Arkansas",ISNUMBER(SEARCH("V-Choctaw:", O47)), "Oklahoma",ISNUMBER(SEARCH("V-DeQueen:", O47)), "Arkansas",ISNUMBER(SEARCH("V-Longview:", O47)), "Texas",ISNUMBER(SEARCH("V-Marshall:", O47)), "Texas",ISNUMBER(SEARCH("V-MWC:", O47)), "Oklahoma",ISNUMBER(SEARCH("V-Moore:", O47)), "Oklahoma",ISNUMBER(SEARCH("V-MP:", O47)), "Texas",ISNUMBER(SEARCH("V-Edmond:", O47)), "Oklahoma",ISNUMBER(SEARCH("V-Paris:", O47)), "Texas",ISNUMBER(SEARCH("V-RR:", O47)), "Texas",ISNUMBER(SEARCH("V-Sherwood:", O47)), "Arkansas",ISNUMBER(SEARCH("V-WV:", O47)), "Texas",ISNUMBER(SEARCH("HealthCARE Express - Richmond Road", O47)), "Texas",ISNUMBER(SEARCH("HealthCARE Express - Occupational Medicine", O47)), "Texas")</f>
        <v>Arkansas</v>
      </c>
      <c r="Q47" t="s">
        <v>841</v>
      </c>
      <c r="R47" t="s">
        <v>882</v>
      </c>
      <c r="S47" t="s">
        <v>335</v>
      </c>
      <c r="T47" t="s">
        <v>848</v>
      </c>
      <c r="U47" t="s">
        <v>843</v>
      </c>
      <c r="AF47" t="str" cm="1">
        <f t="array" ref="AF47">IF(SUMPRODUCT(--ISNUMBER(SEARCH("992",T47:AE47)))&gt;0, "E&amp;M", "No E&amp;M")</f>
        <v>E&amp;M</v>
      </c>
      <c r="AG47" t="str">
        <f t="shared" si="3"/>
        <v>99214</v>
      </c>
      <c r="AH47" t="str">
        <f t="shared" si="4"/>
        <v>Estd. Patient</v>
      </c>
      <c r="AI47" t="str">
        <f t="shared" si="5"/>
        <v>Texas/La/DQ/Ark Blvd</v>
      </c>
    </row>
    <row r="48" spans="1:35" x14ac:dyDescent="0.3">
      <c r="A48" t="s">
        <v>340</v>
      </c>
      <c r="B48" t="s">
        <v>296</v>
      </c>
      <c r="C48" t="s">
        <v>109</v>
      </c>
      <c r="D48" t="s">
        <v>341</v>
      </c>
      <c r="E48" t="s">
        <v>342</v>
      </c>
      <c r="F48" t="s">
        <v>19</v>
      </c>
      <c r="G48" t="s">
        <v>343</v>
      </c>
      <c r="H48" t="s">
        <v>88</v>
      </c>
      <c r="I48" t="s">
        <v>22</v>
      </c>
      <c r="J48" t="s">
        <v>22</v>
      </c>
      <c r="K48" t="s">
        <v>344</v>
      </c>
      <c r="L48" t="s">
        <v>345</v>
      </c>
      <c r="M48" t="s">
        <v>113</v>
      </c>
      <c r="N48" t="s">
        <v>341</v>
      </c>
      <c r="O48" t="s">
        <v>883</v>
      </c>
      <c r="P48" t="str" cm="1">
        <f t="array" ref="P48">_xlfn.IFS(ISNUMBER(SEARCH("AEIC:", O48)), "Arkansas",ISNUMBER(SEARCH("STM:", O48)), "Texas",ISNUMBER(SEARCH("BILLING:", O48)), "Texas",ISNUMBER(SEARCH("AM:", O48)), "Texas",ISNUMBER(SEARCH("ARBlvd:", O48)), "Arkansas",ISNUMBER(SEARCH("Atlanta:", O48)), "Texas",ISNUMBER(SEARCH("Blanchard:", O48)), "Louisiana",ISNUMBER(SEARCH("Bryant:", O48)), "Arkansas",ISNUMBER(SEARCH("Choctaw:", O48)), "Oklahoma",ISNUMBER(SEARCH("Choc Allgy:", O48)), "Oklahoma",ISNUMBER(SEARCH("DeQueen:", O48)), "Arkansas",ISNUMBER(SEARCH("Edmond:", O48)), "Oklahoma",ISNUMBER(SEARCH("Edmd Aller:", O48)), "Oklahoma",ISNUMBER(SEARCH("Imaging:", O48)), "Texas",ISNUMBER(SEARCH("Longview:", O48)), "Texas",ISNUMBER(SEARCH("Marshall:", O48)), "Texas",ISNUMBER(SEARCH("Mar Allerg:", O48)), "Texas",ISNUMBER(SEARCH("Maumelle:", O48)), "Arkansas",ISNUMBER(SEARCH("MWC:", O48)), "Oklahoma",ISNUMBER(SEARCH("MWC Allgy:", O48)), "Oklahoma",ISNUMBER(SEARCH("Moore:", O48)), "Oklahoma",ISNUMBER(SEARCH("MooreAllgy:", O48)), "Oklahoma",ISNUMBER(SEARCH("MtPleasant:", O48)), "Texas",ISNUMBER(SEARCH("OccOffsite:", O48)), "Texas",ISNUMBER(SEARCH("Pain Mgmt:", O48)), "Texas",ISNUMBER(SEARCH("Paris:", O48)), "Texas",ISNUMBER(SEARCH("PT:", O48)), "Texas",ISNUMBER(SEARCH("RR Allergy:", O48)), "Texas",ISNUMBER(SEARCH("Sherwood:", O48)), "Arkansas",ISNUMBER(SEARCH("WV:", O48)), "Texas",ISNUMBER(SEARCH("Nur-Home:", O48)), "Texas",ISNUMBER(SEARCH("THC:", O48)), "Texas",ISNUMBER(SEARCH("WVTC:", O48)), "Texas",ISNUMBER(SEARCH("TSC:", O48)), "Texas",ISNUMBER(SEARCH("V-AR Blvd:", O48)), "Arkansas",ISNUMBER(SEARCH("V-Maumelle:", O48)), "Arkansas",ISNUMBER(SEARCH("V-Atlanta:", O48)), "Texas",ISNUMBER(SEARCH("VBlanchard:", O48)), "Louisiana",ISNUMBER(SEARCH("V-Bryant:", O48)), "Arkansas",ISNUMBER(SEARCH("V-Choctaw:", O48)), "Oklahoma",ISNUMBER(SEARCH("V-DeQueen:", O48)), "Arkansas",ISNUMBER(SEARCH("V-Longview:", O48)), "Texas",ISNUMBER(SEARCH("V-Marshall:", O48)), "Texas",ISNUMBER(SEARCH("V-MWC:", O48)), "Oklahoma",ISNUMBER(SEARCH("V-Moore:", O48)), "Oklahoma",ISNUMBER(SEARCH("V-MP:", O48)), "Texas",ISNUMBER(SEARCH("V-Edmond:", O48)), "Oklahoma",ISNUMBER(SEARCH("V-Paris:", O48)), "Texas",ISNUMBER(SEARCH("V-RR:", O48)), "Texas",ISNUMBER(SEARCH("V-Sherwood:", O48)), "Arkansas",ISNUMBER(SEARCH("V-WV:", O48)), "Texas",ISNUMBER(SEARCH("HealthCARE Express - Richmond Road", O48)), "Texas",ISNUMBER(SEARCH("HealthCARE Express - Occupational Medicine", O48)), "Texas")</f>
        <v>Arkansas</v>
      </c>
      <c r="Q48" t="s">
        <v>869</v>
      </c>
      <c r="R48" t="s">
        <v>876</v>
      </c>
      <c r="S48" t="s">
        <v>342</v>
      </c>
      <c r="T48" t="s">
        <v>848</v>
      </c>
      <c r="U48" t="s">
        <v>865</v>
      </c>
      <c r="V48" t="s">
        <v>919</v>
      </c>
      <c r="W48" t="s">
        <v>920</v>
      </c>
      <c r="AF48" t="str" cm="1">
        <f t="array" ref="AF48">IF(SUMPRODUCT(--ISNUMBER(SEARCH("992",T48:AE48)))&gt;0, "E&amp;M", "No E&amp;M")</f>
        <v>E&amp;M</v>
      </c>
      <c r="AG48" t="str">
        <f t="shared" si="3"/>
        <v>99214</v>
      </c>
      <c r="AH48" t="str">
        <f t="shared" si="4"/>
        <v>Estd. Patient</v>
      </c>
      <c r="AI48" t="str">
        <f t="shared" si="5"/>
        <v>Little Rock Region</v>
      </c>
    </row>
    <row r="49" spans="1:35" x14ac:dyDescent="0.3">
      <c r="A49" t="s">
        <v>346</v>
      </c>
      <c r="B49" t="s">
        <v>296</v>
      </c>
      <c r="C49" t="s">
        <v>272</v>
      </c>
      <c r="D49" t="s">
        <v>347</v>
      </c>
      <c r="E49" t="s">
        <v>348</v>
      </c>
      <c r="F49" t="s">
        <v>19</v>
      </c>
      <c r="G49" t="s">
        <v>349</v>
      </c>
      <c r="H49" t="s">
        <v>22</v>
      </c>
      <c r="I49" t="s">
        <v>22</v>
      </c>
      <c r="J49" t="s">
        <v>22</v>
      </c>
      <c r="K49" t="s">
        <v>349</v>
      </c>
      <c r="L49" t="s">
        <v>350</v>
      </c>
      <c r="M49" t="s">
        <v>276</v>
      </c>
      <c r="N49" t="s">
        <v>347</v>
      </c>
      <c r="O49" t="s">
        <v>871</v>
      </c>
      <c r="P49" t="str" cm="1">
        <f t="array" ref="P49">_xlfn.IFS(ISNUMBER(SEARCH("AEIC:", O49)), "Arkansas",ISNUMBER(SEARCH("STM:", O49)), "Texas",ISNUMBER(SEARCH("BILLING:", O49)), "Texas",ISNUMBER(SEARCH("AM:", O49)), "Texas",ISNUMBER(SEARCH("ARBlvd:", O49)), "Arkansas",ISNUMBER(SEARCH("Atlanta:", O49)), "Texas",ISNUMBER(SEARCH("Blanchard:", O49)), "Louisiana",ISNUMBER(SEARCH("Bryant:", O49)), "Arkansas",ISNUMBER(SEARCH("Choctaw:", O49)), "Oklahoma",ISNUMBER(SEARCH("Choc Allgy:", O49)), "Oklahoma",ISNUMBER(SEARCH("DeQueen:", O49)), "Arkansas",ISNUMBER(SEARCH("Edmond:", O49)), "Oklahoma",ISNUMBER(SEARCH("Edmd Aller:", O49)), "Oklahoma",ISNUMBER(SEARCH("Imaging:", O49)), "Texas",ISNUMBER(SEARCH("Longview:", O49)), "Texas",ISNUMBER(SEARCH("Marshall:", O49)), "Texas",ISNUMBER(SEARCH("Mar Allerg:", O49)), "Texas",ISNUMBER(SEARCH("Maumelle:", O49)), "Arkansas",ISNUMBER(SEARCH("MWC:", O49)), "Oklahoma",ISNUMBER(SEARCH("MWC Allgy:", O49)), "Oklahoma",ISNUMBER(SEARCH("Moore:", O49)), "Oklahoma",ISNUMBER(SEARCH("MooreAllgy:", O49)), "Oklahoma",ISNUMBER(SEARCH("MtPleasant:", O49)), "Texas",ISNUMBER(SEARCH("OccOffsite:", O49)), "Texas",ISNUMBER(SEARCH("Pain Mgmt:", O49)), "Texas",ISNUMBER(SEARCH("Paris:", O49)), "Texas",ISNUMBER(SEARCH("PT:", O49)), "Texas",ISNUMBER(SEARCH("RR Allergy:", O49)), "Texas",ISNUMBER(SEARCH("Sherwood:", O49)), "Arkansas",ISNUMBER(SEARCH("WV:", O49)), "Texas",ISNUMBER(SEARCH("Nur-Home:", O49)), "Texas",ISNUMBER(SEARCH("THC:", O49)), "Texas",ISNUMBER(SEARCH("WVTC:", O49)), "Texas",ISNUMBER(SEARCH("TSC:", O49)), "Texas",ISNUMBER(SEARCH("V-AR Blvd:", O49)), "Arkansas",ISNUMBER(SEARCH("V-Maumelle:", O49)), "Arkansas",ISNUMBER(SEARCH("V-Atlanta:", O49)), "Texas",ISNUMBER(SEARCH("VBlanchard:", O49)), "Louisiana",ISNUMBER(SEARCH("V-Bryant:", O49)), "Arkansas",ISNUMBER(SEARCH("V-Choctaw:", O49)), "Oklahoma",ISNUMBER(SEARCH("V-DeQueen:", O49)), "Arkansas",ISNUMBER(SEARCH("V-Longview:", O49)), "Texas",ISNUMBER(SEARCH("V-Marshall:", O49)), "Texas",ISNUMBER(SEARCH("V-MWC:", O49)), "Oklahoma",ISNUMBER(SEARCH("V-Moore:", O49)), "Oklahoma",ISNUMBER(SEARCH("V-MP:", O49)), "Texas",ISNUMBER(SEARCH("V-Edmond:", O49)), "Oklahoma",ISNUMBER(SEARCH("V-Paris:", O49)), "Texas",ISNUMBER(SEARCH("V-RR:", O49)), "Texas",ISNUMBER(SEARCH("V-Sherwood:", O49)), "Arkansas",ISNUMBER(SEARCH("V-WV:", O49)), "Texas",ISNUMBER(SEARCH("HealthCARE Express - Richmond Road", O49)), "Texas",ISNUMBER(SEARCH("HealthCARE Express - Occupational Medicine", O49)), "Texas")</f>
        <v>Oklahoma</v>
      </c>
      <c r="Q49" t="s">
        <v>841</v>
      </c>
      <c r="R49" t="s">
        <v>872</v>
      </c>
      <c r="S49" t="s">
        <v>348</v>
      </c>
      <c r="T49" t="s">
        <v>848</v>
      </c>
      <c r="U49" t="s">
        <v>843</v>
      </c>
      <c r="V49" t="s">
        <v>849</v>
      </c>
      <c r="W49" t="s">
        <v>873</v>
      </c>
      <c r="AF49" t="str" cm="1">
        <f t="array" ref="AF49">IF(SUMPRODUCT(--ISNUMBER(SEARCH("992",T49:AE49)))&gt;0, "E&amp;M", "No E&amp;M")</f>
        <v>E&amp;M</v>
      </c>
      <c r="AG49" t="str">
        <f t="shared" si="3"/>
        <v>99214</v>
      </c>
      <c r="AH49" t="str">
        <f t="shared" si="4"/>
        <v>Estd. Patient</v>
      </c>
      <c r="AI49" t="str">
        <f t="shared" si="5"/>
        <v>-</v>
      </c>
    </row>
    <row r="50" spans="1:35" x14ac:dyDescent="0.3">
      <c r="A50" t="s">
        <v>351</v>
      </c>
      <c r="B50" t="s">
        <v>296</v>
      </c>
      <c r="C50" t="s">
        <v>53</v>
      </c>
      <c r="D50" t="s">
        <v>352</v>
      </c>
      <c r="E50" t="s">
        <v>39</v>
      </c>
      <c r="F50" t="s">
        <v>19</v>
      </c>
      <c r="G50" t="s">
        <v>353</v>
      </c>
      <c r="H50" t="s">
        <v>195</v>
      </c>
      <c r="I50" t="s">
        <v>22</v>
      </c>
      <c r="J50" t="s">
        <v>22</v>
      </c>
      <c r="K50" t="s">
        <v>354</v>
      </c>
      <c r="L50" t="s">
        <v>355</v>
      </c>
      <c r="M50" t="s">
        <v>57</v>
      </c>
      <c r="N50" t="s">
        <v>352</v>
      </c>
      <c r="O50" t="s">
        <v>858</v>
      </c>
      <c r="P50" t="str" cm="1">
        <f t="array" ref="P50">_xlfn.IFS(ISNUMBER(SEARCH("AEIC:", O50)), "Arkansas",ISNUMBER(SEARCH("STM:", O50)), "Texas",ISNUMBER(SEARCH("BILLING:", O50)), "Texas",ISNUMBER(SEARCH("AM:", O50)), "Texas",ISNUMBER(SEARCH("ARBlvd:", O50)), "Arkansas",ISNUMBER(SEARCH("Atlanta:", O50)), "Texas",ISNUMBER(SEARCH("Blanchard:", O50)), "Louisiana",ISNUMBER(SEARCH("Bryant:", O50)), "Arkansas",ISNUMBER(SEARCH("Choctaw:", O50)), "Oklahoma",ISNUMBER(SEARCH("Choc Allgy:", O50)), "Oklahoma",ISNUMBER(SEARCH("DeQueen:", O50)), "Arkansas",ISNUMBER(SEARCH("Edmond:", O50)), "Oklahoma",ISNUMBER(SEARCH("Edmd Aller:", O50)), "Oklahoma",ISNUMBER(SEARCH("Imaging:", O50)), "Texas",ISNUMBER(SEARCH("Longview:", O50)), "Texas",ISNUMBER(SEARCH("Marshall:", O50)), "Texas",ISNUMBER(SEARCH("Mar Allerg:", O50)), "Texas",ISNUMBER(SEARCH("Maumelle:", O50)), "Arkansas",ISNUMBER(SEARCH("MWC:", O50)), "Oklahoma",ISNUMBER(SEARCH("MWC Allgy:", O50)), "Oklahoma",ISNUMBER(SEARCH("Moore:", O50)), "Oklahoma",ISNUMBER(SEARCH("MooreAllgy:", O50)), "Oklahoma",ISNUMBER(SEARCH("MtPleasant:", O50)), "Texas",ISNUMBER(SEARCH("OccOffsite:", O50)), "Texas",ISNUMBER(SEARCH("Pain Mgmt:", O50)), "Texas",ISNUMBER(SEARCH("Paris:", O50)), "Texas",ISNUMBER(SEARCH("PT:", O50)), "Texas",ISNUMBER(SEARCH("RR Allergy:", O50)), "Texas",ISNUMBER(SEARCH("Sherwood:", O50)), "Arkansas",ISNUMBER(SEARCH("WV:", O50)), "Texas",ISNUMBER(SEARCH("Nur-Home:", O50)), "Texas",ISNUMBER(SEARCH("THC:", O50)), "Texas",ISNUMBER(SEARCH("WVTC:", O50)), "Texas",ISNUMBER(SEARCH("TSC:", O50)), "Texas",ISNUMBER(SEARCH("V-AR Blvd:", O50)), "Arkansas",ISNUMBER(SEARCH("V-Maumelle:", O50)), "Arkansas",ISNUMBER(SEARCH("V-Atlanta:", O50)), "Texas",ISNUMBER(SEARCH("VBlanchard:", O50)), "Louisiana",ISNUMBER(SEARCH("V-Bryant:", O50)), "Arkansas",ISNUMBER(SEARCH("V-Choctaw:", O50)), "Oklahoma",ISNUMBER(SEARCH("V-DeQueen:", O50)), "Arkansas",ISNUMBER(SEARCH("V-Longview:", O50)), "Texas",ISNUMBER(SEARCH("V-Marshall:", O50)), "Texas",ISNUMBER(SEARCH("V-MWC:", O50)), "Oklahoma",ISNUMBER(SEARCH("V-Moore:", O50)), "Oklahoma",ISNUMBER(SEARCH("V-MP:", O50)), "Texas",ISNUMBER(SEARCH("V-Edmond:", O50)), "Oklahoma",ISNUMBER(SEARCH("V-Paris:", O50)), "Texas",ISNUMBER(SEARCH("V-RR:", O50)), "Texas",ISNUMBER(SEARCH("V-Sherwood:", O50)), "Arkansas",ISNUMBER(SEARCH("V-WV:", O50)), "Texas",ISNUMBER(SEARCH("HealthCARE Express - Richmond Road", O50)), "Texas",ISNUMBER(SEARCH("HealthCARE Express - Occupational Medicine", O50)), "Texas")</f>
        <v>Texas</v>
      </c>
      <c r="Q50" t="s">
        <v>841</v>
      </c>
      <c r="R50" t="s">
        <v>856</v>
      </c>
      <c r="S50" t="s">
        <v>39</v>
      </c>
      <c r="T50" t="s">
        <v>857</v>
      </c>
      <c r="U50" t="s">
        <v>921</v>
      </c>
      <c r="V50" t="s">
        <v>845</v>
      </c>
      <c r="AF50" t="str" cm="1">
        <f t="array" ref="AF50">IF(SUMPRODUCT(--ISNUMBER(SEARCH("992",T50:AE50)))&gt;0, "E&amp;M", "No E&amp;M")</f>
        <v>E&amp;M</v>
      </c>
      <c r="AG50" t="str">
        <f t="shared" si="3"/>
        <v>99204</v>
      </c>
      <c r="AH50" t="str">
        <f t="shared" si="4"/>
        <v>New Patient</v>
      </c>
      <c r="AI50" t="str">
        <f t="shared" si="5"/>
        <v>Texas/La/DQ/Ark Blvd</v>
      </c>
    </row>
    <row r="51" spans="1:35" x14ac:dyDescent="0.3">
      <c r="A51" t="s">
        <v>356</v>
      </c>
      <c r="B51" t="s">
        <v>357</v>
      </c>
      <c r="C51" t="s">
        <v>358</v>
      </c>
      <c r="D51" t="s">
        <v>359</v>
      </c>
      <c r="E51" t="s">
        <v>360</v>
      </c>
      <c r="F51" t="s">
        <v>19</v>
      </c>
      <c r="G51" t="s">
        <v>361</v>
      </c>
      <c r="H51" t="s">
        <v>22</v>
      </c>
      <c r="I51" t="s">
        <v>22</v>
      </c>
      <c r="J51" t="s">
        <v>22</v>
      </c>
      <c r="K51" t="s">
        <v>361</v>
      </c>
      <c r="L51" t="s">
        <v>362</v>
      </c>
      <c r="M51" t="s">
        <v>363</v>
      </c>
      <c r="N51" t="s">
        <v>359</v>
      </c>
      <c r="O51" t="s">
        <v>883</v>
      </c>
      <c r="P51" t="str" cm="1">
        <f t="array" ref="P51">_xlfn.IFS(ISNUMBER(SEARCH("AEIC:", O51)), "Arkansas",ISNUMBER(SEARCH("STM:", O51)), "Texas",ISNUMBER(SEARCH("BILLING:", O51)), "Texas",ISNUMBER(SEARCH("AM:", O51)), "Texas",ISNUMBER(SEARCH("ARBlvd:", O51)), "Arkansas",ISNUMBER(SEARCH("Atlanta:", O51)), "Texas",ISNUMBER(SEARCH("Blanchard:", O51)), "Louisiana",ISNUMBER(SEARCH("Bryant:", O51)), "Arkansas",ISNUMBER(SEARCH("Choctaw:", O51)), "Oklahoma",ISNUMBER(SEARCH("Choc Allgy:", O51)), "Oklahoma",ISNUMBER(SEARCH("DeQueen:", O51)), "Arkansas",ISNUMBER(SEARCH("Edmond:", O51)), "Oklahoma",ISNUMBER(SEARCH("Edmd Aller:", O51)), "Oklahoma",ISNUMBER(SEARCH("Imaging:", O51)), "Texas",ISNUMBER(SEARCH("Longview:", O51)), "Texas",ISNUMBER(SEARCH("Marshall:", O51)), "Texas",ISNUMBER(SEARCH("Mar Allerg:", O51)), "Texas",ISNUMBER(SEARCH("Maumelle:", O51)), "Arkansas",ISNUMBER(SEARCH("MWC:", O51)), "Oklahoma",ISNUMBER(SEARCH("MWC Allgy:", O51)), "Oklahoma",ISNUMBER(SEARCH("Moore:", O51)), "Oklahoma",ISNUMBER(SEARCH("MooreAllgy:", O51)), "Oklahoma",ISNUMBER(SEARCH("MtPleasant:", O51)), "Texas",ISNUMBER(SEARCH("OccOffsite:", O51)), "Texas",ISNUMBER(SEARCH("Pain Mgmt:", O51)), "Texas",ISNUMBER(SEARCH("Paris:", O51)), "Texas",ISNUMBER(SEARCH("PT:", O51)), "Texas",ISNUMBER(SEARCH("RR Allergy:", O51)), "Texas",ISNUMBER(SEARCH("Sherwood:", O51)), "Arkansas",ISNUMBER(SEARCH("WV:", O51)), "Texas",ISNUMBER(SEARCH("Nur-Home:", O51)), "Texas",ISNUMBER(SEARCH("THC:", O51)), "Texas",ISNUMBER(SEARCH("WVTC:", O51)), "Texas",ISNUMBER(SEARCH("TSC:", O51)), "Texas",ISNUMBER(SEARCH("V-AR Blvd:", O51)), "Arkansas",ISNUMBER(SEARCH("V-Maumelle:", O51)), "Arkansas",ISNUMBER(SEARCH("V-Atlanta:", O51)), "Texas",ISNUMBER(SEARCH("VBlanchard:", O51)), "Louisiana",ISNUMBER(SEARCH("V-Bryant:", O51)), "Arkansas",ISNUMBER(SEARCH("V-Choctaw:", O51)), "Oklahoma",ISNUMBER(SEARCH("V-DeQueen:", O51)), "Arkansas",ISNUMBER(SEARCH("V-Longview:", O51)), "Texas",ISNUMBER(SEARCH("V-Marshall:", O51)), "Texas",ISNUMBER(SEARCH("V-MWC:", O51)), "Oklahoma",ISNUMBER(SEARCH("V-Moore:", O51)), "Oklahoma",ISNUMBER(SEARCH("V-MP:", O51)), "Texas",ISNUMBER(SEARCH("V-Edmond:", O51)), "Oklahoma",ISNUMBER(SEARCH("V-Paris:", O51)), "Texas",ISNUMBER(SEARCH("V-RR:", O51)), "Texas",ISNUMBER(SEARCH("V-Sherwood:", O51)), "Arkansas",ISNUMBER(SEARCH("V-WV:", O51)), "Texas",ISNUMBER(SEARCH("HealthCARE Express - Richmond Road", O51)), "Texas",ISNUMBER(SEARCH("HealthCARE Express - Occupational Medicine", O51)), "Texas")</f>
        <v>Arkansas</v>
      </c>
      <c r="Q51" t="s">
        <v>841</v>
      </c>
      <c r="R51" t="s">
        <v>847</v>
      </c>
      <c r="S51" t="s">
        <v>360</v>
      </c>
      <c r="T51" t="s">
        <v>912</v>
      </c>
      <c r="U51" t="s">
        <v>864</v>
      </c>
      <c r="AF51" t="str" cm="1">
        <f t="array" ref="AF51">IF(SUMPRODUCT(--ISNUMBER(SEARCH("992",T51:AE51)))&gt;0, "E&amp;M", "No E&amp;M")</f>
        <v>E&amp;M</v>
      </c>
      <c r="AG51" t="str">
        <f t="shared" si="3"/>
        <v>99215</v>
      </c>
      <c r="AH51" t="str">
        <f t="shared" si="4"/>
        <v>Estd. Patient</v>
      </c>
      <c r="AI51" t="str">
        <f t="shared" si="5"/>
        <v>Little Rock Region</v>
      </c>
    </row>
    <row r="52" spans="1:35" x14ac:dyDescent="0.3">
      <c r="A52" t="s">
        <v>364</v>
      </c>
      <c r="B52" t="s">
        <v>357</v>
      </c>
      <c r="C52" t="s">
        <v>365</v>
      </c>
      <c r="D52" t="s">
        <v>366</v>
      </c>
      <c r="E52" t="s">
        <v>367</v>
      </c>
      <c r="F52" t="s">
        <v>19</v>
      </c>
      <c r="G52" t="s">
        <v>368</v>
      </c>
      <c r="H52" t="s">
        <v>369</v>
      </c>
      <c r="I52" t="s">
        <v>22</v>
      </c>
      <c r="J52" t="s">
        <v>22</v>
      </c>
      <c r="K52" t="s">
        <v>370</v>
      </c>
      <c r="L52" t="s">
        <v>371</v>
      </c>
      <c r="M52" t="s">
        <v>372</v>
      </c>
      <c r="N52" t="s">
        <v>366</v>
      </c>
      <c r="O52" t="s">
        <v>922</v>
      </c>
      <c r="P52" t="str" cm="1">
        <f t="array" ref="P52">_xlfn.IFS(ISNUMBER(SEARCH("AEIC:", O52)), "Arkansas",ISNUMBER(SEARCH("STM:", O52)), "Texas",ISNUMBER(SEARCH("BILLING:", O52)), "Texas",ISNUMBER(SEARCH("AM:", O52)), "Texas",ISNUMBER(SEARCH("ARBlvd:", O52)), "Arkansas",ISNUMBER(SEARCH("Atlanta:", O52)), "Texas",ISNUMBER(SEARCH("Blanchard:", O52)), "Louisiana",ISNUMBER(SEARCH("Bryant:", O52)), "Arkansas",ISNUMBER(SEARCH("Choctaw:", O52)), "Oklahoma",ISNUMBER(SEARCH("Choc Allgy:", O52)), "Oklahoma",ISNUMBER(SEARCH("DeQueen:", O52)), "Arkansas",ISNUMBER(SEARCH("Edmond:", O52)), "Oklahoma",ISNUMBER(SEARCH("Edmd Aller:", O52)), "Oklahoma",ISNUMBER(SEARCH("Imaging:", O52)), "Texas",ISNUMBER(SEARCH("Longview:", O52)), "Texas",ISNUMBER(SEARCH("Marshall:", O52)), "Texas",ISNUMBER(SEARCH("Mar Allerg:", O52)), "Texas",ISNUMBER(SEARCH("Maumelle:", O52)), "Arkansas",ISNUMBER(SEARCH("MWC:", O52)), "Oklahoma",ISNUMBER(SEARCH("MWC Allgy:", O52)), "Oklahoma",ISNUMBER(SEARCH("Moore:", O52)), "Oklahoma",ISNUMBER(SEARCH("MooreAllgy:", O52)), "Oklahoma",ISNUMBER(SEARCH("MtPleasant:", O52)), "Texas",ISNUMBER(SEARCH("OccOffsite:", O52)), "Texas",ISNUMBER(SEARCH("Pain Mgmt:", O52)), "Texas",ISNUMBER(SEARCH("Paris:", O52)), "Texas",ISNUMBER(SEARCH("PT:", O52)), "Texas",ISNUMBER(SEARCH("RR Allergy:", O52)), "Texas",ISNUMBER(SEARCH("Sherwood:", O52)), "Arkansas",ISNUMBER(SEARCH("WV:", O52)), "Texas",ISNUMBER(SEARCH("Nur-Home:", O52)), "Texas",ISNUMBER(SEARCH("THC:", O52)), "Texas",ISNUMBER(SEARCH("WVTC:", O52)), "Texas",ISNUMBER(SEARCH("TSC:", O52)), "Texas",ISNUMBER(SEARCH("V-AR Blvd:", O52)), "Arkansas",ISNUMBER(SEARCH("V-Maumelle:", O52)), "Arkansas",ISNUMBER(SEARCH("V-Atlanta:", O52)), "Texas",ISNUMBER(SEARCH("VBlanchard:", O52)), "Louisiana",ISNUMBER(SEARCH("V-Bryant:", O52)), "Arkansas",ISNUMBER(SEARCH("V-Choctaw:", O52)), "Oklahoma",ISNUMBER(SEARCH("V-DeQueen:", O52)), "Arkansas",ISNUMBER(SEARCH("V-Longview:", O52)), "Texas",ISNUMBER(SEARCH("V-Marshall:", O52)), "Texas",ISNUMBER(SEARCH("V-MWC:", O52)), "Oklahoma",ISNUMBER(SEARCH("V-Moore:", O52)), "Oklahoma",ISNUMBER(SEARCH("V-MP:", O52)), "Texas",ISNUMBER(SEARCH("V-Edmond:", O52)), "Oklahoma",ISNUMBER(SEARCH("V-Paris:", O52)), "Texas",ISNUMBER(SEARCH("V-RR:", O52)), "Texas",ISNUMBER(SEARCH("V-Sherwood:", O52)), "Arkansas",ISNUMBER(SEARCH("V-WV:", O52)), "Texas",ISNUMBER(SEARCH("HealthCARE Express - Richmond Road", O52)), "Texas",ISNUMBER(SEARCH("HealthCARE Express - Occupational Medicine", O52)), "Texas")</f>
        <v>Arkansas</v>
      </c>
      <c r="Q52" t="s">
        <v>841</v>
      </c>
      <c r="R52" t="s">
        <v>882</v>
      </c>
      <c r="S52" t="s">
        <v>367</v>
      </c>
      <c r="T52" t="s">
        <v>857</v>
      </c>
      <c r="U52" t="s">
        <v>880</v>
      </c>
      <c r="V52" t="s">
        <v>864</v>
      </c>
      <c r="AF52" t="str" cm="1">
        <f t="array" ref="AF52">IF(SUMPRODUCT(--ISNUMBER(SEARCH("992",T52:AE52)))&gt;0, "E&amp;M", "No E&amp;M")</f>
        <v>E&amp;M</v>
      </c>
      <c r="AG52" t="str">
        <f t="shared" si="3"/>
        <v>99204</v>
      </c>
      <c r="AH52" t="str">
        <f t="shared" si="4"/>
        <v>New Patient</v>
      </c>
      <c r="AI52" t="str">
        <f t="shared" si="5"/>
        <v>Texas/La/DQ/Ark Blvd</v>
      </c>
    </row>
    <row r="53" spans="1:35" x14ac:dyDescent="0.3">
      <c r="A53" t="s">
        <v>373</v>
      </c>
      <c r="B53" t="s">
        <v>357</v>
      </c>
      <c r="C53" t="s">
        <v>365</v>
      </c>
      <c r="D53" t="s">
        <v>374</v>
      </c>
      <c r="E53" t="s">
        <v>375</v>
      </c>
      <c r="F53" t="s">
        <v>19</v>
      </c>
      <c r="G53" t="s">
        <v>376</v>
      </c>
      <c r="H53" t="s">
        <v>22</v>
      </c>
      <c r="I53" t="s">
        <v>22</v>
      </c>
      <c r="J53" t="s">
        <v>22</v>
      </c>
      <c r="K53" t="s">
        <v>376</v>
      </c>
      <c r="L53" t="s">
        <v>377</v>
      </c>
      <c r="M53" t="s">
        <v>372</v>
      </c>
      <c r="N53" t="s">
        <v>378</v>
      </c>
      <c r="O53" t="s">
        <v>922</v>
      </c>
      <c r="P53" t="str" cm="1">
        <f t="array" ref="P53">_xlfn.IFS(ISNUMBER(SEARCH("AEIC:", O53)), "Arkansas",ISNUMBER(SEARCH("STM:", O53)), "Texas",ISNUMBER(SEARCH("BILLING:", O53)), "Texas",ISNUMBER(SEARCH("AM:", O53)), "Texas",ISNUMBER(SEARCH("ARBlvd:", O53)), "Arkansas",ISNUMBER(SEARCH("Atlanta:", O53)), "Texas",ISNUMBER(SEARCH("Blanchard:", O53)), "Louisiana",ISNUMBER(SEARCH("Bryant:", O53)), "Arkansas",ISNUMBER(SEARCH("Choctaw:", O53)), "Oklahoma",ISNUMBER(SEARCH("Choc Allgy:", O53)), "Oklahoma",ISNUMBER(SEARCH("DeQueen:", O53)), "Arkansas",ISNUMBER(SEARCH("Edmond:", O53)), "Oklahoma",ISNUMBER(SEARCH("Edmd Aller:", O53)), "Oklahoma",ISNUMBER(SEARCH("Imaging:", O53)), "Texas",ISNUMBER(SEARCH("Longview:", O53)), "Texas",ISNUMBER(SEARCH("Marshall:", O53)), "Texas",ISNUMBER(SEARCH("Mar Allerg:", O53)), "Texas",ISNUMBER(SEARCH("Maumelle:", O53)), "Arkansas",ISNUMBER(SEARCH("MWC:", O53)), "Oklahoma",ISNUMBER(SEARCH("MWC Allgy:", O53)), "Oklahoma",ISNUMBER(SEARCH("Moore:", O53)), "Oklahoma",ISNUMBER(SEARCH("MooreAllgy:", O53)), "Oklahoma",ISNUMBER(SEARCH("MtPleasant:", O53)), "Texas",ISNUMBER(SEARCH("OccOffsite:", O53)), "Texas",ISNUMBER(SEARCH("Pain Mgmt:", O53)), "Texas",ISNUMBER(SEARCH("Paris:", O53)), "Texas",ISNUMBER(SEARCH("PT:", O53)), "Texas",ISNUMBER(SEARCH("RR Allergy:", O53)), "Texas",ISNUMBER(SEARCH("Sherwood:", O53)), "Arkansas",ISNUMBER(SEARCH("WV:", O53)), "Texas",ISNUMBER(SEARCH("Nur-Home:", O53)), "Texas",ISNUMBER(SEARCH("THC:", O53)), "Texas",ISNUMBER(SEARCH("WVTC:", O53)), "Texas",ISNUMBER(SEARCH("TSC:", O53)), "Texas",ISNUMBER(SEARCH("V-AR Blvd:", O53)), "Arkansas",ISNUMBER(SEARCH("V-Maumelle:", O53)), "Arkansas",ISNUMBER(SEARCH("V-Atlanta:", O53)), "Texas",ISNUMBER(SEARCH("VBlanchard:", O53)), "Louisiana",ISNUMBER(SEARCH("V-Bryant:", O53)), "Arkansas",ISNUMBER(SEARCH("V-Choctaw:", O53)), "Oklahoma",ISNUMBER(SEARCH("V-DeQueen:", O53)), "Arkansas",ISNUMBER(SEARCH("V-Longview:", O53)), "Texas",ISNUMBER(SEARCH("V-Marshall:", O53)), "Texas",ISNUMBER(SEARCH("V-MWC:", O53)), "Oklahoma",ISNUMBER(SEARCH("V-Moore:", O53)), "Oklahoma",ISNUMBER(SEARCH("V-MP:", O53)), "Texas",ISNUMBER(SEARCH("V-Edmond:", O53)), "Oklahoma",ISNUMBER(SEARCH("V-Paris:", O53)), "Texas",ISNUMBER(SEARCH("V-RR:", O53)), "Texas",ISNUMBER(SEARCH("V-Sherwood:", O53)), "Arkansas",ISNUMBER(SEARCH("V-WV:", O53)), "Texas",ISNUMBER(SEARCH("HealthCARE Express - Richmond Road", O53)), "Texas",ISNUMBER(SEARCH("HealthCARE Express - Occupational Medicine", O53)), "Texas")</f>
        <v>Arkansas</v>
      </c>
      <c r="Q53" t="s">
        <v>841</v>
      </c>
      <c r="R53" t="s">
        <v>872</v>
      </c>
      <c r="S53" t="s">
        <v>375</v>
      </c>
      <c r="T53" t="s">
        <v>848</v>
      </c>
      <c r="U53" t="s">
        <v>861</v>
      </c>
      <c r="V53" t="s">
        <v>864</v>
      </c>
      <c r="W53" t="s">
        <v>865</v>
      </c>
      <c r="X53" t="s">
        <v>867</v>
      </c>
      <c r="AF53" t="str" cm="1">
        <f t="array" ref="AF53">IF(SUMPRODUCT(--ISNUMBER(SEARCH("992",T53:AE53)))&gt;0, "E&amp;M", "No E&amp;M")</f>
        <v>E&amp;M</v>
      </c>
      <c r="AG53" t="str">
        <f t="shared" si="3"/>
        <v>99214</v>
      </c>
      <c r="AH53" t="str">
        <f t="shared" si="4"/>
        <v>Estd. Patient</v>
      </c>
      <c r="AI53" t="str">
        <f t="shared" si="5"/>
        <v>Texas/La/DQ/Ark Blvd</v>
      </c>
    </row>
    <row r="54" spans="1:35" x14ac:dyDescent="0.3">
      <c r="A54" t="s">
        <v>379</v>
      </c>
      <c r="B54" t="s">
        <v>357</v>
      </c>
      <c r="C54" t="s">
        <v>109</v>
      </c>
      <c r="D54" t="s">
        <v>380</v>
      </c>
      <c r="E54" t="s">
        <v>381</v>
      </c>
      <c r="F54" t="s">
        <v>19</v>
      </c>
      <c r="G54" t="s">
        <v>382</v>
      </c>
      <c r="H54" t="s">
        <v>79</v>
      </c>
      <c r="I54" t="s">
        <v>22</v>
      </c>
      <c r="J54" t="s">
        <v>22</v>
      </c>
      <c r="K54" t="s">
        <v>383</v>
      </c>
      <c r="L54" t="s">
        <v>384</v>
      </c>
      <c r="M54" t="s">
        <v>113</v>
      </c>
      <c r="N54" t="s">
        <v>380</v>
      </c>
      <c r="O54" t="s">
        <v>878</v>
      </c>
      <c r="P54" t="str" cm="1">
        <f t="array" ref="P54">_xlfn.IFS(ISNUMBER(SEARCH("AEIC:", O54)), "Arkansas",ISNUMBER(SEARCH("STM:", O54)), "Texas",ISNUMBER(SEARCH("BILLING:", O54)), "Texas",ISNUMBER(SEARCH("AM:", O54)), "Texas",ISNUMBER(SEARCH("ARBlvd:", O54)), "Arkansas",ISNUMBER(SEARCH("Atlanta:", O54)), "Texas",ISNUMBER(SEARCH("Blanchard:", O54)), "Louisiana",ISNUMBER(SEARCH("Bryant:", O54)), "Arkansas",ISNUMBER(SEARCH("Choctaw:", O54)), "Oklahoma",ISNUMBER(SEARCH("Choc Allgy:", O54)), "Oklahoma",ISNUMBER(SEARCH("DeQueen:", O54)), "Arkansas",ISNUMBER(SEARCH("Edmond:", O54)), "Oklahoma",ISNUMBER(SEARCH("Edmd Aller:", O54)), "Oklahoma",ISNUMBER(SEARCH("Imaging:", O54)), "Texas",ISNUMBER(SEARCH("Longview:", O54)), "Texas",ISNUMBER(SEARCH("Marshall:", O54)), "Texas",ISNUMBER(SEARCH("Mar Allerg:", O54)), "Texas",ISNUMBER(SEARCH("Maumelle:", O54)), "Arkansas",ISNUMBER(SEARCH("MWC:", O54)), "Oklahoma",ISNUMBER(SEARCH("MWC Allgy:", O54)), "Oklahoma",ISNUMBER(SEARCH("Moore:", O54)), "Oklahoma",ISNUMBER(SEARCH("MooreAllgy:", O54)), "Oklahoma",ISNUMBER(SEARCH("MtPleasant:", O54)), "Texas",ISNUMBER(SEARCH("OccOffsite:", O54)), "Texas",ISNUMBER(SEARCH("Pain Mgmt:", O54)), "Texas",ISNUMBER(SEARCH("Paris:", O54)), "Texas",ISNUMBER(SEARCH("PT:", O54)), "Texas",ISNUMBER(SEARCH("RR Allergy:", O54)), "Texas",ISNUMBER(SEARCH("Sherwood:", O54)), "Arkansas",ISNUMBER(SEARCH("WV:", O54)), "Texas",ISNUMBER(SEARCH("Nur-Home:", O54)), "Texas",ISNUMBER(SEARCH("THC:", O54)), "Texas",ISNUMBER(SEARCH("WVTC:", O54)), "Texas",ISNUMBER(SEARCH("TSC:", O54)), "Texas",ISNUMBER(SEARCH("V-AR Blvd:", O54)), "Arkansas",ISNUMBER(SEARCH("V-Maumelle:", O54)), "Arkansas",ISNUMBER(SEARCH("V-Atlanta:", O54)), "Texas",ISNUMBER(SEARCH("VBlanchard:", O54)), "Louisiana",ISNUMBER(SEARCH("V-Bryant:", O54)), "Arkansas",ISNUMBER(SEARCH("V-Choctaw:", O54)), "Oklahoma",ISNUMBER(SEARCH("V-DeQueen:", O54)), "Arkansas",ISNUMBER(SEARCH("V-Longview:", O54)), "Texas",ISNUMBER(SEARCH("V-Marshall:", O54)), "Texas",ISNUMBER(SEARCH("V-MWC:", O54)), "Oklahoma",ISNUMBER(SEARCH("V-Moore:", O54)), "Oklahoma",ISNUMBER(SEARCH("V-MP:", O54)), "Texas",ISNUMBER(SEARCH("V-Edmond:", O54)), "Oklahoma",ISNUMBER(SEARCH("V-Paris:", O54)), "Texas",ISNUMBER(SEARCH("V-RR:", O54)), "Texas",ISNUMBER(SEARCH("V-Sherwood:", O54)), "Arkansas",ISNUMBER(SEARCH("V-WV:", O54)), "Texas",ISNUMBER(SEARCH("HealthCARE Express - Richmond Road", O54)), "Texas",ISNUMBER(SEARCH("HealthCARE Express - Occupational Medicine", O54)), "Texas")</f>
        <v>Arkansas</v>
      </c>
      <c r="Q54" t="s">
        <v>841</v>
      </c>
      <c r="R54" t="s">
        <v>923</v>
      </c>
      <c r="S54" t="s">
        <v>381</v>
      </c>
      <c r="T54" t="s">
        <v>848</v>
      </c>
      <c r="U54" t="s">
        <v>861</v>
      </c>
      <c r="V54" t="s">
        <v>864</v>
      </c>
      <c r="W54" t="s">
        <v>867</v>
      </c>
      <c r="AF54" t="str" cm="1">
        <f t="array" ref="AF54">IF(SUMPRODUCT(--ISNUMBER(SEARCH("992",T54:AE54)))&gt;0, "E&amp;M", "No E&amp;M")</f>
        <v>E&amp;M</v>
      </c>
      <c r="AG54" t="str">
        <f t="shared" si="3"/>
        <v>99214</v>
      </c>
      <c r="AH54" t="str">
        <f t="shared" si="4"/>
        <v>Estd. Patient</v>
      </c>
      <c r="AI54" t="str">
        <f t="shared" si="5"/>
        <v>Little Rock Region</v>
      </c>
    </row>
    <row r="55" spans="1:35" x14ac:dyDescent="0.3">
      <c r="A55" t="s">
        <v>385</v>
      </c>
      <c r="B55" t="s">
        <v>357</v>
      </c>
      <c r="C55" t="s">
        <v>386</v>
      </c>
      <c r="D55" t="s">
        <v>387</v>
      </c>
      <c r="E55" t="s">
        <v>96</v>
      </c>
      <c r="F55" t="s">
        <v>19</v>
      </c>
      <c r="G55" t="s">
        <v>388</v>
      </c>
      <c r="H55" t="s">
        <v>389</v>
      </c>
      <c r="I55" t="s">
        <v>22</v>
      </c>
      <c r="J55" t="s">
        <v>22</v>
      </c>
      <c r="K55" t="s">
        <v>390</v>
      </c>
      <c r="L55" t="s">
        <v>391</v>
      </c>
      <c r="M55" t="s">
        <v>392</v>
      </c>
      <c r="N55" t="s">
        <v>387</v>
      </c>
      <c r="O55" t="s">
        <v>874</v>
      </c>
      <c r="P55" t="str" cm="1">
        <f t="array" ref="P55">_xlfn.IFS(ISNUMBER(SEARCH("AEIC:", O55)), "Arkansas",ISNUMBER(SEARCH("STM:", O55)), "Texas",ISNUMBER(SEARCH("BILLING:", O55)), "Texas",ISNUMBER(SEARCH("AM:", O55)), "Texas",ISNUMBER(SEARCH("ARBlvd:", O55)), "Arkansas",ISNUMBER(SEARCH("Atlanta:", O55)), "Texas",ISNUMBER(SEARCH("Blanchard:", O55)), "Louisiana",ISNUMBER(SEARCH("Bryant:", O55)), "Arkansas",ISNUMBER(SEARCH("Choctaw:", O55)), "Oklahoma",ISNUMBER(SEARCH("Choc Allgy:", O55)), "Oklahoma",ISNUMBER(SEARCH("DeQueen:", O55)), "Arkansas",ISNUMBER(SEARCH("Edmond:", O55)), "Oklahoma",ISNUMBER(SEARCH("Edmd Aller:", O55)), "Oklahoma",ISNUMBER(SEARCH("Imaging:", O55)), "Texas",ISNUMBER(SEARCH("Longview:", O55)), "Texas",ISNUMBER(SEARCH("Marshall:", O55)), "Texas",ISNUMBER(SEARCH("Mar Allerg:", O55)), "Texas",ISNUMBER(SEARCH("Maumelle:", O55)), "Arkansas",ISNUMBER(SEARCH("MWC:", O55)), "Oklahoma",ISNUMBER(SEARCH("MWC Allgy:", O55)), "Oklahoma",ISNUMBER(SEARCH("Moore:", O55)), "Oklahoma",ISNUMBER(SEARCH("MooreAllgy:", O55)), "Oklahoma",ISNUMBER(SEARCH("MtPleasant:", O55)), "Texas",ISNUMBER(SEARCH("OccOffsite:", O55)), "Texas",ISNUMBER(SEARCH("Pain Mgmt:", O55)), "Texas",ISNUMBER(SEARCH("Paris:", O55)), "Texas",ISNUMBER(SEARCH("PT:", O55)), "Texas",ISNUMBER(SEARCH("RR Allergy:", O55)), "Texas",ISNUMBER(SEARCH("Sherwood:", O55)), "Arkansas",ISNUMBER(SEARCH("WV:", O55)), "Texas",ISNUMBER(SEARCH("Nur-Home:", O55)), "Texas",ISNUMBER(SEARCH("THC:", O55)), "Texas",ISNUMBER(SEARCH("WVTC:", O55)), "Texas",ISNUMBER(SEARCH("TSC:", O55)), "Texas",ISNUMBER(SEARCH("V-AR Blvd:", O55)), "Arkansas",ISNUMBER(SEARCH("V-Maumelle:", O55)), "Arkansas",ISNUMBER(SEARCH("V-Atlanta:", O55)), "Texas",ISNUMBER(SEARCH("VBlanchard:", O55)), "Louisiana",ISNUMBER(SEARCH("V-Bryant:", O55)), "Arkansas",ISNUMBER(SEARCH("V-Choctaw:", O55)), "Oklahoma",ISNUMBER(SEARCH("V-DeQueen:", O55)), "Arkansas",ISNUMBER(SEARCH("V-Longview:", O55)), "Texas",ISNUMBER(SEARCH("V-Marshall:", O55)), "Texas",ISNUMBER(SEARCH("V-MWC:", O55)), "Oklahoma",ISNUMBER(SEARCH("V-Moore:", O55)), "Oklahoma",ISNUMBER(SEARCH("V-MP:", O55)), "Texas",ISNUMBER(SEARCH("V-Edmond:", O55)), "Oklahoma",ISNUMBER(SEARCH("V-Paris:", O55)), "Texas",ISNUMBER(SEARCH("V-RR:", O55)), "Texas",ISNUMBER(SEARCH("V-Sherwood:", O55)), "Arkansas",ISNUMBER(SEARCH("V-WV:", O55)), "Texas",ISNUMBER(SEARCH("HealthCARE Express - Richmond Road", O55)), "Texas",ISNUMBER(SEARCH("HealthCARE Express - Occupational Medicine", O55)), "Texas")</f>
        <v>Arkansas</v>
      </c>
      <c r="Q55" t="s">
        <v>841</v>
      </c>
      <c r="R55" t="s">
        <v>879</v>
      </c>
      <c r="S55" t="s">
        <v>96</v>
      </c>
      <c r="T55" t="s">
        <v>848</v>
      </c>
      <c r="U55" t="s">
        <v>861</v>
      </c>
      <c r="V55" t="s">
        <v>870</v>
      </c>
      <c r="W55" t="s">
        <v>867</v>
      </c>
      <c r="AF55" t="str" cm="1">
        <f t="array" ref="AF55">IF(SUMPRODUCT(--ISNUMBER(SEARCH("992",T55:AE55)))&gt;0, "E&amp;M", "No E&amp;M")</f>
        <v>E&amp;M</v>
      </c>
      <c r="AG55" t="str">
        <f t="shared" si="3"/>
        <v>99214</v>
      </c>
      <c r="AH55" t="str">
        <f t="shared" si="4"/>
        <v>Estd. Patient</v>
      </c>
      <c r="AI55" t="str">
        <f t="shared" si="5"/>
        <v>Little Rock Region</v>
      </c>
    </row>
    <row r="56" spans="1:35" x14ac:dyDescent="0.3">
      <c r="A56" t="s">
        <v>393</v>
      </c>
      <c r="B56" t="s">
        <v>357</v>
      </c>
      <c r="C56" t="s">
        <v>386</v>
      </c>
      <c r="D56" t="s">
        <v>394</v>
      </c>
      <c r="E56" t="s">
        <v>375</v>
      </c>
      <c r="F56" t="s">
        <v>19</v>
      </c>
      <c r="G56" t="s">
        <v>382</v>
      </c>
      <c r="H56" t="s">
        <v>22</v>
      </c>
      <c r="I56" t="s">
        <v>22</v>
      </c>
      <c r="J56" t="s">
        <v>22</v>
      </c>
      <c r="K56" t="s">
        <v>382</v>
      </c>
      <c r="L56" t="s">
        <v>395</v>
      </c>
      <c r="M56" t="s">
        <v>392</v>
      </c>
      <c r="N56" t="s">
        <v>396</v>
      </c>
      <c r="O56" t="s">
        <v>874</v>
      </c>
      <c r="P56" t="str" cm="1">
        <f t="array" ref="P56">_xlfn.IFS(ISNUMBER(SEARCH("AEIC:", O56)), "Arkansas",ISNUMBER(SEARCH("STM:", O56)), "Texas",ISNUMBER(SEARCH("BILLING:", O56)), "Texas",ISNUMBER(SEARCH("AM:", O56)), "Texas",ISNUMBER(SEARCH("ARBlvd:", O56)), "Arkansas",ISNUMBER(SEARCH("Atlanta:", O56)), "Texas",ISNUMBER(SEARCH("Blanchard:", O56)), "Louisiana",ISNUMBER(SEARCH("Bryant:", O56)), "Arkansas",ISNUMBER(SEARCH("Choctaw:", O56)), "Oklahoma",ISNUMBER(SEARCH("Choc Allgy:", O56)), "Oklahoma",ISNUMBER(SEARCH("DeQueen:", O56)), "Arkansas",ISNUMBER(SEARCH("Edmond:", O56)), "Oklahoma",ISNUMBER(SEARCH("Edmd Aller:", O56)), "Oklahoma",ISNUMBER(SEARCH("Imaging:", O56)), "Texas",ISNUMBER(SEARCH("Longview:", O56)), "Texas",ISNUMBER(SEARCH("Marshall:", O56)), "Texas",ISNUMBER(SEARCH("Mar Allerg:", O56)), "Texas",ISNUMBER(SEARCH("Maumelle:", O56)), "Arkansas",ISNUMBER(SEARCH("MWC:", O56)), "Oklahoma",ISNUMBER(SEARCH("MWC Allgy:", O56)), "Oklahoma",ISNUMBER(SEARCH("Moore:", O56)), "Oklahoma",ISNUMBER(SEARCH("MooreAllgy:", O56)), "Oklahoma",ISNUMBER(SEARCH("MtPleasant:", O56)), "Texas",ISNUMBER(SEARCH("OccOffsite:", O56)), "Texas",ISNUMBER(SEARCH("Pain Mgmt:", O56)), "Texas",ISNUMBER(SEARCH("Paris:", O56)), "Texas",ISNUMBER(SEARCH("PT:", O56)), "Texas",ISNUMBER(SEARCH("RR Allergy:", O56)), "Texas",ISNUMBER(SEARCH("Sherwood:", O56)), "Arkansas",ISNUMBER(SEARCH("WV:", O56)), "Texas",ISNUMBER(SEARCH("Nur-Home:", O56)), "Texas",ISNUMBER(SEARCH("THC:", O56)), "Texas",ISNUMBER(SEARCH("WVTC:", O56)), "Texas",ISNUMBER(SEARCH("TSC:", O56)), "Texas",ISNUMBER(SEARCH("V-AR Blvd:", O56)), "Arkansas",ISNUMBER(SEARCH("V-Maumelle:", O56)), "Arkansas",ISNUMBER(SEARCH("V-Atlanta:", O56)), "Texas",ISNUMBER(SEARCH("VBlanchard:", O56)), "Louisiana",ISNUMBER(SEARCH("V-Bryant:", O56)), "Arkansas",ISNUMBER(SEARCH("V-Choctaw:", O56)), "Oklahoma",ISNUMBER(SEARCH("V-DeQueen:", O56)), "Arkansas",ISNUMBER(SEARCH("V-Longview:", O56)), "Texas",ISNUMBER(SEARCH("V-Marshall:", O56)), "Texas",ISNUMBER(SEARCH("V-MWC:", O56)), "Oklahoma",ISNUMBER(SEARCH("V-Moore:", O56)), "Oklahoma",ISNUMBER(SEARCH("V-MP:", O56)), "Texas",ISNUMBER(SEARCH("V-Edmond:", O56)), "Oklahoma",ISNUMBER(SEARCH("V-Paris:", O56)), "Texas",ISNUMBER(SEARCH("V-RR:", O56)), "Texas",ISNUMBER(SEARCH("V-Sherwood:", O56)), "Arkansas",ISNUMBER(SEARCH("V-WV:", O56)), "Texas",ISNUMBER(SEARCH("HealthCARE Express - Richmond Road", O56)), "Texas",ISNUMBER(SEARCH("HealthCARE Express - Occupational Medicine", O56)), "Texas")</f>
        <v>Arkansas</v>
      </c>
      <c r="Q56" t="s">
        <v>841</v>
      </c>
      <c r="R56" t="s">
        <v>872</v>
      </c>
      <c r="S56" t="s">
        <v>375</v>
      </c>
      <c r="T56" t="s">
        <v>848</v>
      </c>
      <c r="U56" t="s">
        <v>861</v>
      </c>
      <c r="V56" t="s">
        <v>864</v>
      </c>
      <c r="W56" t="s">
        <v>867</v>
      </c>
      <c r="AF56" t="str" cm="1">
        <f t="array" ref="AF56">IF(SUMPRODUCT(--ISNUMBER(SEARCH("992",T56:AE56)))&gt;0, "E&amp;M", "No E&amp;M")</f>
        <v>E&amp;M</v>
      </c>
      <c r="AG56" t="str">
        <f t="shared" si="3"/>
        <v>99214</v>
      </c>
      <c r="AH56" t="str">
        <f t="shared" si="4"/>
        <v>Estd. Patient</v>
      </c>
      <c r="AI56" t="str">
        <f t="shared" si="5"/>
        <v>Little Rock Region</v>
      </c>
    </row>
    <row r="57" spans="1:35" x14ac:dyDescent="0.3">
      <c r="A57" t="s">
        <v>397</v>
      </c>
      <c r="B57" t="s">
        <v>357</v>
      </c>
      <c r="C57" t="s">
        <v>109</v>
      </c>
      <c r="D57" t="s">
        <v>398</v>
      </c>
      <c r="E57" t="s">
        <v>399</v>
      </c>
      <c r="F57" t="s">
        <v>19</v>
      </c>
      <c r="G57" t="s">
        <v>400</v>
      </c>
      <c r="H57" t="s">
        <v>401</v>
      </c>
      <c r="I57" t="s">
        <v>22</v>
      </c>
      <c r="J57" t="s">
        <v>22</v>
      </c>
      <c r="K57" t="s">
        <v>402</v>
      </c>
      <c r="L57" t="s">
        <v>403</v>
      </c>
      <c r="M57" t="s">
        <v>113</v>
      </c>
      <c r="N57" t="s">
        <v>404</v>
      </c>
      <c r="O57" t="s">
        <v>878</v>
      </c>
      <c r="P57" t="str" cm="1">
        <f t="array" ref="P57">_xlfn.IFS(ISNUMBER(SEARCH("AEIC:", O57)), "Arkansas",ISNUMBER(SEARCH("STM:", O57)), "Texas",ISNUMBER(SEARCH("BILLING:", O57)), "Texas",ISNUMBER(SEARCH("AM:", O57)), "Texas",ISNUMBER(SEARCH("ARBlvd:", O57)), "Arkansas",ISNUMBER(SEARCH("Atlanta:", O57)), "Texas",ISNUMBER(SEARCH("Blanchard:", O57)), "Louisiana",ISNUMBER(SEARCH("Bryant:", O57)), "Arkansas",ISNUMBER(SEARCH("Choctaw:", O57)), "Oklahoma",ISNUMBER(SEARCH("Choc Allgy:", O57)), "Oklahoma",ISNUMBER(SEARCH("DeQueen:", O57)), "Arkansas",ISNUMBER(SEARCH("Edmond:", O57)), "Oklahoma",ISNUMBER(SEARCH("Edmd Aller:", O57)), "Oklahoma",ISNUMBER(SEARCH("Imaging:", O57)), "Texas",ISNUMBER(SEARCH("Longview:", O57)), "Texas",ISNUMBER(SEARCH("Marshall:", O57)), "Texas",ISNUMBER(SEARCH("Mar Allerg:", O57)), "Texas",ISNUMBER(SEARCH("Maumelle:", O57)), "Arkansas",ISNUMBER(SEARCH("MWC:", O57)), "Oklahoma",ISNUMBER(SEARCH("MWC Allgy:", O57)), "Oklahoma",ISNUMBER(SEARCH("Moore:", O57)), "Oklahoma",ISNUMBER(SEARCH("MooreAllgy:", O57)), "Oklahoma",ISNUMBER(SEARCH("MtPleasant:", O57)), "Texas",ISNUMBER(SEARCH("OccOffsite:", O57)), "Texas",ISNUMBER(SEARCH("Pain Mgmt:", O57)), "Texas",ISNUMBER(SEARCH("Paris:", O57)), "Texas",ISNUMBER(SEARCH("PT:", O57)), "Texas",ISNUMBER(SEARCH("RR Allergy:", O57)), "Texas",ISNUMBER(SEARCH("Sherwood:", O57)), "Arkansas",ISNUMBER(SEARCH("WV:", O57)), "Texas",ISNUMBER(SEARCH("Nur-Home:", O57)), "Texas",ISNUMBER(SEARCH("THC:", O57)), "Texas",ISNUMBER(SEARCH("WVTC:", O57)), "Texas",ISNUMBER(SEARCH("TSC:", O57)), "Texas",ISNUMBER(SEARCH("V-AR Blvd:", O57)), "Arkansas",ISNUMBER(SEARCH("V-Maumelle:", O57)), "Arkansas",ISNUMBER(SEARCH("V-Atlanta:", O57)), "Texas",ISNUMBER(SEARCH("VBlanchard:", O57)), "Louisiana",ISNUMBER(SEARCH("V-Bryant:", O57)), "Arkansas",ISNUMBER(SEARCH("V-Choctaw:", O57)), "Oklahoma",ISNUMBER(SEARCH("V-DeQueen:", O57)), "Arkansas",ISNUMBER(SEARCH("V-Longview:", O57)), "Texas",ISNUMBER(SEARCH("V-Marshall:", O57)), "Texas",ISNUMBER(SEARCH("V-MWC:", O57)), "Oklahoma",ISNUMBER(SEARCH("V-Moore:", O57)), "Oklahoma",ISNUMBER(SEARCH("V-MP:", O57)), "Texas",ISNUMBER(SEARCH("V-Edmond:", O57)), "Oklahoma",ISNUMBER(SEARCH("V-Paris:", O57)), "Texas",ISNUMBER(SEARCH("V-RR:", O57)), "Texas",ISNUMBER(SEARCH("V-Sherwood:", O57)), "Arkansas",ISNUMBER(SEARCH("V-WV:", O57)), "Texas",ISNUMBER(SEARCH("HealthCARE Express - Richmond Road", O57)), "Texas",ISNUMBER(SEARCH("HealthCARE Express - Occupational Medicine", O57)), "Texas")</f>
        <v>Arkansas</v>
      </c>
      <c r="Q57" t="s">
        <v>841</v>
      </c>
      <c r="R57" t="s">
        <v>532</v>
      </c>
      <c r="S57" t="s">
        <v>399</v>
      </c>
      <c r="T57" t="s">
        <v>848</v>
      </c>
      <c r="U57" t="s">
        <v>873</v>
      </c>
      <c r="AF57" t="str" cm="1">
        <f t="array" ref="AF57">IF(SUMPRODUCT(--ISNUMBER(SEARCH("992",T57:AE57)))&gt;0, "E&amp;M", "No E&amp;M")</f>
        <v>E&amp;M</v>
      </c>
      <c r="AG57" t="str">
        <f t="shared" si="3"/>
        <v>99214</v>
      </c>
      <c r="AH57" t="str">
        <f t="shared" si="4"/>
        <v>Estd. Patient</v>
      </c>
      <c r="AI57" t="str">
        <f t="shared" si="5"/>
        <v>Little Rock Region</v>
      </c>
    </row>
    <row r="58" spans="1:35" x14ac:dyDescent="0.3">
      <c r="A58" t="s">
        <v>405</v>
      </c>
      <c r="B58" t="s">
        <v>357</v>
      </c>
      <c r="C58" t="s">
        <v>219</v>
      </c>
      <c r="D58" t="s">
        <v>406</v>
      </c>
      <c r="E58" t="s">
        <v>233</v>
      </c>
      <c r="F58" t="s">
        <v>19</v>
      </c>
      <c r="G58" t="s">
        <v>407</v>
      </c>
      <c r="H58" t="s">
        <v>22</v>
      </c>
      <c r="I58" t="s">
        <v>22</v>
      </c>
      <c r="J58" t="s">
        <v>22</v>
      </c>
      <c r="K58" t="s">
        <v>407</v>
      </c>
      <c r="L58" t="s">
        <v>408</v>
      </c>
      <c r="M58" t="s">
        <v>223</v>
      </c>
      <c r="N58" t="s">
        <v>406</v>
      </c>
      <c r="O58" t="s">
        <v>908</v>
      </c>
      <c r="P58" t="str" cm="1">
        <f t="array" ref="P58">_xlfn.IFS(ISNUMBER(SEARCH("AEIC:", O58)), "Arkansas",ISNUMBER(SEARCH("STM:", O58)), "Texas",ISNUMBER(SEARCH("BILLING:", O58)), "Texas",ISNUMBER(SEARCH("AM:", O58)), "Texas",ISNUMBER(SEARCH("ARBlvd:", O58)), "Arkansas",ISNUMBER(SEARCH("Atlanta:", O58)), "Texas",ISNUMBER(SEARCH("Blanchard:", O58)), "Louisiana",ISNUMBER(SEARCH("Bryant:", O58)), "Arkansas",ISNUMBER(SEARCH("Choctaw:", O58)), "Oklahoma",ISNUMBER(SEARCH("Choc Allgy:", O58)), "Oklahoma",ISNUMBER(SEARCH("DeQueen:", O58)), "Arkansas",ISNUMBER(SEARCH("Edmond:", O58)), "Oklahoma",ISNUMBER(SEARCH("Edmd Aller:", O58)), "Oklahoma",ISNUMBER(SEARCH("Imaging:", O58)), "Texas",ISNUMBER(SEARCH("Longview:", O58)), "Texas",ISNUMBER(SEARCH("Marshall:", O58)), "Texas",ISNUMBER(SEARCH("Mar Allerg:", O58)), "Texas",ISNUMBER(SEARCH("Maumelle:", O58)), "Arkansas",ISNUMBER(SEARCH("MWC:", O58)), "Oklahoma",ISNUMBER(SEARCH("MWC Allgy:", O58)), "Oklahoma",ISNUMBER(SEARCH("Moore:", O58)), "Oklahoma",ISNUMBER(SEARCH("MooreAllgy:", O58)), "Oklahoma",ISNUMBER(SEARCH("MtPleasant:", O58)), "Texas",ISNUMBER(SEARCH("OccOffsite:", O58)), "Texas",ISNUMBER(SEARCH("Pain Mgmt:", O58)), "Texas",ISNUMBER(SEARCH("Paris:", O58)), "Texas",ISNUMBER(SEARCH("PT:", O58)), "Texas",ISNUMBER(SEARCH("RR Allergy:", O58)), "Texas",ISNUMBER(SEARCH("Sherwood:", O58)), "Arkansas",ISNUMBER(SEARCH("WV:", O58)), "Texas",ISNUMBER(SEARCH("Nur-Home:", O58)), "Texas",ISNUMBER(SEARCH("THC:", O58)), "Texas",ISNUMBER(SEARCH("WVTC:", O58)), "Texas",ISNUMBER(SEARCH("TSC:", O58)), "Texas",ISNUMBER(SEARCH("V-AR Blvd:", O58)), "Arkansas",ISNUMBER(SEARCH("V-Maumelle:", O58)), "Arkansas",ISNUMBER(SEARCH("V-Atlanta:", O58)), "Texas",ISNUMBER(SEARCH("VBlanchard:", O58)), "Louisiana",ISNUMBER(SEARCH("V-Bryant:", O58)), "Arkansas",ISNUMBER(SEARCH("V-Choctaw:", O58)), "Oklahoma",ISNUMBER(SEARCH("V-DeQueen:", O58)), "Arkansas",ISNUMBER(SEARCH("V-Longview:", O58)), "Texas",ISNUMBER(SEARCH("V-Marshall:", O58)), "Texas",ISNUMBER(SEARCH("V-MWC:", O58)), "Oklahoma",ISNUMBER(SEARCH("V-Moore:", O58)), "Oklahoma",ISNUMBER(SEARCH("V-MP:", O58)), "Texas",ISNUMBER(SEARCH("V-Edmond:", O58)), "Oklahoma",ISNUMBER(SEARCH("V-Paris:", O58)), "Texas",ISNUMBER(SEARCH("V-RR:", O58)), "Texas",ISNUMBER(SEARCH("V-Sherwood:", O58)), "Arkansas",ISNUMBER(SEARCH("V-WV:", O58)), "Texas",ISNUMBER(SEARCH("HealthCARE Express - Richmond Road", O58)), "Texas",ISNUMBER(SEARCH("HealthCARE Express - Occupational Medicine", O58)), "Texas")</f>
        <v>Texas</v>
      </c>
      <c r="Q58" t="s">
        <v>841</v>
      </c>
      <c r="R58" t="s">
        <v>872</v>
      </c>
      <c r="S58" t="s">
        <v>233</v>
      </c>
      <c r="T58" t="s">
        <v>848</v>
      </c>
      <c r="U58" t="s">
        <v>899</v>
      </c>
      <c r="V58" t="s">
        <v>889</v>
      </c>
      <c r="W58" t="s">
        <v>844</v>
      </c>
      <c r="X58" t="s">
        <v>851</v>
      </c>
      <c r="Y58" t="s">
        <v>845</v>
      </c>
      <c r="Z58" t="s">
        <v>853</v>
      </c>
      <c r="AF58" t="str" cm="1">
        <f t="array" ref="AF58">IF(SUMPRODUCT(--ISNUMBER(SEARCH("992",T58:AE58)))&gt;0, "E&amp;M", "No E&amp;M")</f>
        <v>E&amp;M</v>
      </c>
      <c r="AG58" t="str">
        <f t="shared" si="3"/>
        <v>99214</v>
      </c>
      <c r="AH58" t="str">
        <f t="shared" si="4"/>
        <v>Estd. Patient</v>
      </c>
      <c r="AI58" t="str">
        <f t="shared" si="5"/>
        <v>Texas/La/DQ/Ark Blvd</v>
      </c>
    </row>
    <row r="59" spans="1:35" x14ac:dyDescent="0.3">
      <c r="A59" t="s">
        <v>409</v>
      </c>
      <c r="B59" t="s">
        <v>357</v>
      </c>
      <c r="C59" t="s">
        <v>365</v>
      </c>
      <c r="D59" t="s">
        <v>410</v>
      </c>
      <c r="E59" t="s">
        <v>335</v>
      </c>
      <c r="F59" t="s">
        <v>19</v>
      </c>
      <c r="G59" t="s">
        <v>411</v>
      </c>
      <c r="H59" t="s">
        <v>22</v>
      </c>
      <c r="I59" t="s">
        <v>22</v>
      </c>
      <c r="J59" t="s">
        <v>22</v>
      </c>
      <c r="K59" t="s">
        <v>411</v>
      </c>
      <c r="L59" t="s">
        <v>412</v>
      </c>
      <c r="M59" t="s">
        <v>372</v>
      </c>
      <c r="N59" t="s">
        <v>413</v>
      </c>
      <c r="O59" t="s">
        <v>922</v>
      </c>
      <c r="P59" t="str" cm="1">
        <f t="array" ref="P59">_xlfn.IFS(ISNUMBER(SEARCH("AEIC:", O59)), "Arkansas",ISNUMBER(SEARCH("STM:", O59)), "Texas",ISNUMBER(SEARCH("BILLING:", O59)), "Texas",ISNUMBER(SEARCH("AM:", O59)), "Texas",ISNUMBER(SEARCH("ARBlvd:", O59)), "Arkansas",ISNUMBER(SEARCH("Atlanta:", O59)), "Texas",ISNUMBER(SEARCH("Blanchard:", O59)), "Louisiana",ISNUMBER(SEARCH("Bryant:", O59)), "Arkansas",ISNUMBER(SEARCH("Choctaw:", O59)), "Oklahoma",ISNUMBER(SEARCH("Choc Allgy:", O59)), "Oklahoma",ISNUMBER(SEARCH("DeQueen:", O59)), "Arkansas",ISNUMBER(SEARCH("Edmond:", O59)), "Oklahoma",ISNUMBER(SEARCH("Edmd Aller:", O59)), "Oklahoma",ISNUMBER(SEARCH("Imaging:", O59)), "Texas",ISNUMBER(SEARCH("Longview:", O59)), "Texas",ISNUMBER(SEARCH("Marshall:", O59)), "Texas",ISNUMBER(SEARCH("Mar Allerg:", O59)), "Texas",ISNUMBER(SEARCH("Maumelle:", O59)), "Arkansas",ISNUMBER(SEARCH("MWC:", O59)), "Oklahoma",ISNUMBER(SEARCH("MWC Allgy:", O59)), "Oklahoma",ISNUMBER(SEARCH("Moore:", O59)), "Oklahoma",ISNUMBER(SEARCH("MooreAllgy:", O59)), "Oklahoma",ISNUMBER(SEARCH("MtPleasant:", O59)), "Texas",ISNUMBER(SEARCH("OccOffsite:", O59)), "Texas",ISNUMBER(SEARCH("Pain Mgmt:", O59)), "Texas",ISNUMBER(SEARCH("Paris:", O59)), "Texas",ISNUMBER(SEARCH("PT:", O59)), "Texas",ISNUMBER(SEARCH("RR Allergy:", O59)), "Texas",ISNUMBER(SEARCH("Sherwood:", O59)), "Arkansas",ISNUMBER(SEARCH("WV:", O59)), "Texas",ISNUMBER(SEARCH("Nur-Home:", O59)), "Texas",ISNUMBER(SEARCH("THC:", O59)), "Texas",ISNUMBER(SEARCH("WVTC:", O59)), "Texas",ISNUMBER(SEARCH("TSC:", O59)), "Texas",ISNUMBER(SEARCH("V-AR Blvd:", O59)), "Arkansas",ISNUMBER(SEARCH("V-Maumelle:", O59)), "Arkansas",ISNUMBER(SEARCH("V-Atlanta:", O59)), "Texas",ISNUMBER(SEARCH("VBlanchard:", O59)), "Louisiana",ISNUMBER(SEARCH("V-Bryant:", O59)), "Arkansas",ISNUMBER(SEARCH("V-Choctaw:", O59)), "Oklahoma",ISNUMBER(SEARCH("V-DeQueen:", O59)), "Arkansas",ISNUMBER(SEARCH("V-Longview:", O59)), "Texas",ISNUMBER(SEARCH("V-Marshall:", O59)), "Texas",ISNUMBER(SEARCH("V-MWC:", O59)), "Oklahoma",ISNUMBER(SEARCH("V-Moore:", O59)), "Oklahoma",ISNUMBER(SEARCH("V-MP:", O59)), "Texas",ISNUMBER(SEARCH("V-Edmond:", O59)), "Oklahoma",ISNUMBER(SEARCH("V-Paris:", O59)), "Texas",ISNUMBER(SEARCH("V-RR:", O59)), "Texas",ISNUMBER(SEARCH("V-Sherwood:", O59)), "Arkansas",ISNUMBER(SEARCH("V-WV:", O59)), "Texas",ISNUMBER(SEARCH("HealthCARE Express - Richmond Road", O59)), "Texas",ISNUMBER(SEARCH("HealthCARE Express - Occupational Medicine", O59)), "Texas")</f>
        <v>Arkansas</v>
      </c>
      <c r="Q59" t="s">
        <v>841</v>
      </c>
      <c r="R59" t="s">
        <v>882</v>
      </c>
      <c r="S59" t="s">
        <v>335</v>
      </c>
      <c r="T59" t="s">
        <v>848</v>
      </c>
      <c r="U59" t="s">
        <v>880</v>
      </c>
      <c r="AF59" t="str" cm="1">
        <f t="array" ref="AF59">IF(SUMPRODUCT(--ISNUMBER(SEARCH("992",T59:AE59)))&gt;0, "E&amp;M", "No E&amp;M")</f>
        <v>E&amp;M</v>
      </c>
      <c r="AG59" t="str">
        <f t="shared" si="3"/>
        <v>99214</v>
      </c>
      <c r="AH59" t="str">
        <f t="shared" si="4"/>
        <v>Estd. Patient</v>
      </c>
      <c r="AI59" t="str">
        <f t="shared" si="5"/>
        <v>Texas/La/DQ/Ark Blvd</v>
      </c>
    </row>
    <row r="60" spans="1:35" x14ac:dyDescent="0.3">
      <c r="A60" t="s">
        <v>414</v>
      </c>
      <c r="B60" t="s">
        <v>357</v>
      </c>
      <c r="C60" t="s">
        <v>358</v>
      </c>
      <c r="D60" t="s">
        <v>415</v>
      </c>
      <c r="E60" t="s">
        <v>96</v>
      </c>
      <c r="F60" t="s">
        <v>19</v>
      </c>
      <c r="G60" t="s">
        <v>416</v>
      </c>
      <c r="H60" t="s">
        <v>88</v>
      </c>
      <c r="I60" t="s">
        <v>22</v>
      </c>
      <c r="J60" t="s">
        <v>22</v>
      </c>
      <c r="K60" t="s">
        <v>417</v>
      </c>
      <c r="L60" t="s">
        <v>418</v>
      </c>
      <c r="M60" t="s">
        <v>363</v>
      </c>
      <c r="N60" t="s">
        <v>415</v>
      </c>
      <c r="S60" t="s">
        <v>96</v>
      </c>
      <c r="AF60" t="str" cm="1">
        <f t="array" ref="AF60">IF(SUMPRODUCT(--ISNUMBER(SEARCH("992",T60:AE60)))&gt;0, "E&amp;M", "No E&amp;M")</f>
        <v>No E&amp;M</v>
      </c>
      <c r="AG60" t="str">
        <f t="shared" si="3"/>
        <v>No E&amp;M</v>
      </c>
      <c r="AH60" t="str">
        <f t="shared" si="4"/>
        <v>No E&amp;M</v>
      </c>
    </row>
    <row r="61" spans="1:35" x14ac:dyDescent="0.3">
      <c r="A61" t="s">
        <v>419</v>
      </c>
      <c r="B61" t="s">
        <v>357</v>
      </c>
      <c r="C61" t="s">
        <v>109</v>
      </c>
      <c r="D61" t="s">
        <v>420</v>
      </c>
      <c r="E61" t="s">
        <v>421</v>
      </c>
      <c r="F61" t="s">
        <v>19</v>
      </c>
      <c r="G61" t="s">
        <v>422</v>
      </c>
      <c r="H61" t="s">
        <v>389</v>
      </c>
      <c r="I61" t="s">
        <v>22</v>
      </c>
      <c r="J61" t="s">
        <v>22</v>
      </c>
      <c r="K61" t="s">
        <v>423</v>
      </c>
      <c r="L61" t="s">
        <v>424</v>
      </c>
      <c r="M61" t="s">
        <v>113</v>
      </c>
      <c r="N61" t="s">
        <v>420</v>
      </c>
      <c r="O61" t="s">
        <v>878</v>
      </c>
      <c r="P61" t="str" cm="1">
        <f t="array" ref="P61">_xlfn.IFS(ISNUMBER(SEARCH("AEIC:", O61)), "Arkansas",ISNUMBER(SEARCH("STM:", O61)), "Texas",ISNUMBER(SEARCH("BILLING:", O61)), "Texas",ISNUMBER(SEARCH("AM:", O61)), "Texas",ISNUMBER(SEARCH("ARBlvd:", O61)), "Arkansas",ISNUMBER(SEARCH("Atlanta:", O61)), "Texas",ISNUMBER(SEARCH("Blanchard:", O61)), "Louisiana",ISNUMBER(SEARCH("Bryant:", O61)), "Arkansas",ISNUMBER(SEARCH("Choctaw:", O61)), "Oklahoma",ISNUMBER(SEARCH("Choc Allgy:", O61)), "Oklahoma",ISNUMBER(SEARCH("DeQueen:", O61)), "Arkansas",ISNUMBER(SEARCH("Edmond:", O61)), "Oklahoma",ISNUMBER(SEARCH("Edmd Aller:", O61)), "Oklahoma",ISNUMBER(SEARCH("Imaging:", O61)), "Texas",ISNUMBER(SEARCH("Longview:", O61)), "Texas",ISNUMBER(SEARCH("Marshall:", O61)), "Texas",ISNUMBER(SEARCH("Mar Allerg:", O61)), "Texas",ISNUMBER(SEARCH("Maumelle:", O61)), "Arkansas",ISNUMBER(SEARCH("MWC:", O61)), "Oklahoma",ISNUMBER(SEARCH("MWC Allgy:", O61)), "Oklahoma",ISNUMBER(SEARCH("Moore:", O61)), "Oklahoma",ISNUMBER(SEARCH("MooreAllgy:", O61)), "Oklahoma",ISNUMBER(SEARCH("MtPleasant:", O61)), "Texas",ISNUMBER(SEARCH("OccOffsite:", O61)), "Texas",ISNUMBER(SEARCH("Pain Mgmt:", O61)), "Texas",ISNUMBER(SEARCH("Paris:", O61)), "Texas",ISNUMBER(SEARCH("PT:", O61)), "Texas",ISNUMBER(SEARCH("RR Allergy:", O61)), "Texas",ISNUMBER(SEARCH("Sherwood:", O61)), "Arkansas",ISNUMBER(SEARCH("WV:", O61)), "Texas",ISNUMBER(SEARCH("Nur-Home:", O61)), "Texas",ISNUMBER(SEARCH("THC:", O61)), "Texas",ISNUMBER(SEARCH("WVTC:", O61)), "Texas",ISNUMBER(SEARCH("TSC:", O61)), "Texas",ISNUMBER(SEARCH("V-AR Blvd:", O61)), "Arkansas",ISNUMBER(SEARCH("V-Maumelle:", O61)), "Arkansas",ISNUMBER(SEARCH("V-Atlanta:", O61)), "Texas",ISNUMBER(SEARCH("VBlanchard:", O61)), "Louisiana",ISNUMBER(SEARCH("V-Bryant:", O61)), "Arkansas",ISNUMBER(SEARCH("V-Choctaw:", O61)), "Oklahoma",ISNUMBER(SEARCH("V-DeQueen:", O61)), "Arkansas",ISNUMBER(SEARCH("V-Longview:", O61)), "Texas",ISNUMBER(SEARCH("V-Marshall:", O61)), "Texas",ISNUMBER(SEARCH("V-MWC:", O61)), "Oklahoma",ISNUMBER(SEARCH("V-Moore:", O61)), "Oklahoma",ISNUMBER(SEARCH("V-MP:", O61)), "Texas",ISNUMBER(SEARCH("V-Edmond:", O61)), "Oklahoma",ISNUMBER(SEARCH("V-Paris:", O61)), "Texas",ISNUMBER(SEARCH("V-RR:", O61)), "Texas",ISNUMBER(SEARCH("V-Sherwood:", O61)), "Arkansas",ISNUMBER(SEARCH("V-WV:", O61)), "Texas",ISNUMBER(SEARCH("HealthCARE Express - Richmond Road", O61)), "Texas",ISNUMBER(SEARCH("HealthCARE Express - Occupational Medicine", O61)), "Texas")</f>
        <v>Arkansas</v>
      </c>
      <c r="Q61" t="s">
        <v>841</v>
      </c>
      <c r="R61" t="s">
        <v>868</v>
      </c>
      <c r="S61" t="s">
        <v>421</v>
      </c>
      <c r="T61" t="s">
        <v>857</v>
      </c>
      <c r="U61" t="s">
        <v>924</v>
      </c>
      <c r="V61" t="s">
        <v>925</v>
      </c>
      <c r="W61" t="s">
        <v>864</v>
      </c>
      <c r="AF61" t="str" cm="1">
        <f t="array" ref="AF61">IF(SUMPRODUCT(--ISNUMBER(SEARCH("992",T61:AE61)))&gt;0, "E&amp;M", "No E&amp;M")</f>
        <v>E&amp;M</v>
      </c>
      <c r="AG61" t="str">
        <f t="shared" si="3"/>
        <v>99204</v>
      </c>
      <c r="AH61" t="str">
        <f t="shared" si="4"/>
        <v>New Patient</v>
      </c>
      <c r="AI61" t="str">
        <f t="shared" ref="AI61:AI92" si="6">IF(ISNUMBER(SEARCH("McCrary, D",M61)),"Age Management",IF(ISNUMBER(SEARCH("Stanley, R",M61)),"Age Management",IF(ISNUMBER(SEARCH("Garner, P",M61)),"Little Rock Region",IF(ISNUMBER(SEARCH("Golden, C",M61)),"Little Rock Region",IF(ISNUMBER(SEARCH("Kordsmeier, E",M61)),"Little Rock Region",IF(ISNUMBER(SEARCH("Martin, S",M61)),"Little Rock Region",IF(ISNUMBER(SEARCH("Terrell III, R",M61)),"Little Rock Region",IF(ISNUMBER(SEARCH("Waheed, I",M61)),"Little Rock Region",IF(ISNUMBER(SEARCH("Whitwell, B",M61)),"Little Rock Region",IF(ISNUMBER(SEARCH("Anderson, R",M61)),"Oklahoma",IF(ISNUMBER(SEARCH("Baker, S",M61)),"Oklahoma",IF(ISNUMBER(SEARCH("Bishop, K",M61)),"Oklahoma",IF(ISNUMBER(SEARCH("Davis, C",M61)),"Oklahoma",IF(ISNUMBER(SEARCH("Harrison, J",M61)),"Oklahoma",IF(ISNUMBER(SEARCH("Orico, L",M61)),"Oklahoma",IF(ISNUMBER(SEARCH("Richardson, M",M61)),"Oklahoma",IF(ISNUMBER(SEARCH("Schmiedel, I",M61)),"Oklahoma",IF(ISNUMBER(SEARCH("Sitton, L",M61)),"Oklahoma",IF(ISNUMBER(SEARCH("Smith, C",M61)),"Oklahoma",IF(ISNUMBER(SEARCH("Wenner, T",M61)),"Oklahoma",IF(ISNUMBER(SEARCH("Wright, M",M61)),"Oklahoma",IF(ISNUMBER(SEARCH("Young, R",M61)),"Oklahoma",IF(ISNUMBER(SEARCH("Ayers, A",M61)),"Texas/La/DQ/Ark Blvd",IF(ISNUMBER(SEARCH("Ayers, R",M61)),"Texas/La/DQ/Ark Blvd",IF(ISNUMBER(SEARCH("Bailey, J",M61)),"Texas/La/DQ/Ark Blvd",IF(ISNUMBER(SEARCH("Bennett, C",M61)),"Texas/La/DQ/Ark Blvd",IF(ISNUMBER(SEARCH("Bevill, T",M61)),"Texas/La/DQ/Ark Blvd",IF(ISNUMBER(SEARCH("Bowen, A",M61)),"Texas/La/DQ/Ark Blvd",IF(ISNUMBER(SEARCH("Brandon, M",M61)),"Texas/La/DQ/Ark Blvd",IF(ISNUMBER(SEARCH("Browning, J",M61)),"Texas/La/DQ/Ark Blvd",IF(ISNUMBER(SEARCH("Butts, P",M61)),"Texas/La/DQ/Ark Blvd",IF(ISNUMBER(SEARCH("Caltrider, D",M61)),"Texas/La/DQ/Ark Blvd",IF(ISNUMBER(SEARCH("Colbert, S",M61)),"Texas/La/DQ/Ark Blvd",IF(ISNUMBER(SEARCH("Coyle, H",M61)),"Texas/La/DQ/Ark Blvd",IF(ISNUMBER(SEARCH("Crouthamel, M",M61)),"Texas/La/DQ/Ark Blvd",IF(ISNUMBER(SEARCH("Culbertson, J",M61)),"Texas/La/DQ/Ark Blvd",IF(ISNUMBER(SEARCH("Dailey, S",M61)),"Texas/La/DQ/Ark Blvd",IF(ISNUMBER(SEARCH("Donnelly, S",M61)),"Texas/La/DQ/Ark Blvd",IF(ISNUMBER(SEARCH("Foltz, S",M61)),"Texas/La/DQ/Ark Blvd",IF(ISNUMBER(SEARCH("Foltz, T",M61)),"Texas/La/DQ/Ark Blvd",IF(ISNUMBER(SEARCH("Gallegos, C",M61)),"Texas/La/DQ/Ark Blvd",IF(ISNUMBER(SEARCH("Green, K",M61)),"Texas/La/DQ/Ark Blvd",IF(ISNUMBER(SEARCH("Griffin, P",M61)),"Texas/La/DQ/Ark Blvd",IF(ISNUMBER(SEARCH("Hawthorne, R",M61)),"Texas/La/DQ/Ark Blvd",IF(ISNUMBER(SEARCH("Hickey, P",M61)),"Texas/La/DQ/Ark Blvd",IF(ISNUMBER(SEARCH("Hunter, B",M61)),"Texas/La/DQ/Ark Blvd",IF(ISNUMBER(SEARCH("Hutson, D",M61)),"Texas/La/DQ/Ark Blvd",IF(ISNUMBER(SEARCH("Johnson, B",M61)),"Texas/La/DQ/Ark Blvd",IF(ISNUMBER(SEARCH("McCann, K",M61)),"Texas/La/DQ/Ark Blvd",IF(ISNUMBER(SEARCH("Meredith, P",M61)),"Texas/La/DQ/Ark Blvd",IF(ISNUMBER(SEARCH("Mitchell, J",M61)),"Texas/La/DQ/Ark Blvd",IF(ISNUMBER(SEARCH("Pounds, T",M61)),"Texas/La/DQ/Ark Blvd",IF(ISNUMBER(SEARCH("Redden, K",M61)),"Texas/La/DQ/Ark Blvd",IF(ISNUMBER(SEARCH("Redden, M",M61)),"Texas/La/DQ/Ark Blvd",IF(ISNUMBER(SEARCH("Reynolds, S",M61)),"Texas/La/DQ/Ark Blvd",IF(ISNUMBER(SEARCH("Rolon, K",M61)),"Texas/La/DQ/Ark Blvd",IF(ISNUMBER(SEARCH("Rowe, J",M61)),"Texas/La/DQ/Ark Blvd",IF(ISNUMBER(SEARCH("Russette, R",M61)),"Texas/La/DQ/Ark Blvd",IF(ISNUMBER(SEARCH("West, S",M61)),"Texas/La/DQ/Ark Blvd",IF(ISNUMBER(SEARCH("Burch, J",M61)),"Workers Comp",IF(ISNUMBER(SEARCH("Traylor, T",M61)),"Workers Comp",IF(ISNUMBER(SEARCH("Walls, G",M61)),"Workers Comp","-"))))))))))))))))))))))))))))))))))))))))))))))))))))))))))))))</f>
        <v>Little Rock Region</v>
      </c>
    </row>
    <row r="62" spans="1:35" x14ac:dyDescent="0.3">
      <c r="A62" t="s">
        <v>425</v>
      </c>
      <c r="B62" t="s">
        <v>357</v>
      </c>
      <c r="C62" t="s">
        <v>358</v>
      </c>
      <c r="D62" t="s">
        <v>426</v>
      </c>
      <c r="E62" t="s">
        <v>96</v>
      </c>
      <c r="F62" t="s">
        <v>19</v>
      </c>
      <c r="G62" t="s">
        <v>274</v>
      </c>
      <c r="H62" t="s">
        <v>79</v>
      </c>
      <c r="I62" t="s">
        <v>22</v>
      </c>
      <c r="J62" t="s">
        <v>22</v>
      </c>
      <c r="K62" t="s">
        <v>427</v>
      </c>
      <c r="L62" t="s">
        <v>428</v>
      </c>
      <c r="M62" t="s">
        <v>363</v>
      </c>
      <c r="N62" t="s">
        <v>426</v>
      </c>
      <c r="O62" t="s">
        <v>883</v>
      </c>
      <c r="P62" t="str" cm="1">
        <f t="array" ref="P62">_xlfn.IFS(ISNUMBER(SEARCH("AEIC:", O62)), "Arkansas",ISNUMBER(SEARCH("STM:", O62)), "Texas",ISNUMBER(SEARCH("BILLING:", O62)), "Texas",ISNUMBER(SEARCH("AM:", O62)), "Texas",ISNUMBER(SEARCH("ARBlvd:", O62)), "Arkansas",ISNUMBER(SEARCH("Atlanta:", O62)), "Texas",ISNUMBER(SEARCH("Blanchard:", O62)), "Louisiana",ISNUMBER(SEARCH("Bryant:", O62)), "Arkansas",ISNUMBER(SEARCH("Choctaw:", O62)), "Oklahoma",ISNUMBER(SEARCH("Choc Allgy:", O62)), "Oklahoma",ISNUMBER(SEARCH("DeQueen:", O62)), "Arkansas",ISNUMBER(SEARCH("Edmond:", O62)), "Oklahoma",ISNUMBER(SEARCH("Edmd Aller:", O62)), "Oklahoma",ISNUMBER(SEARCH("Imaging:", O62)), "Texas",ISNUMBER(SEARCH("Longview:", O62)), "Texas",ISNUMBER(SEARCH("Marshall:", O62)), "Texas",ISNUMBER(SEARCH("Mar Allerg:", O62)), "Texas",ISNUMBER(SEARCH("Maumelle:", O62)), "Arkansas",ISNUMBER(SEARCH("MWC:", O62)), "Oklahoma",ISNUMBER(SEARCH("MWC Allgy:", O62)), "Oklahoma",ISNUMBER(SEARCH("Moore:", O62)), "Oklahoma",ISNUMBER(SEARCH("MooreAllgy:", O62)), "Oklahoma",ISNUMBER(SEARCH("MtPleasant:", O62)), "Texas",ISNUMBER(SEARCH("OccOffsite:", O62)), "Texas",ISNUMBER(SEARCH("Pain Mgmt:", O62)), "Texas",ISNUMBER(SEARCH("Paris:", O62)), "Texas",ISNUMBER(SEARCH("PT:", O62)), "Texas",ISNUMBER(SEARCH("RR Allergy:", O62)), "Texas",ISNUMBER(SEARCH("Sherwood:", O62)), "Arkansas",ISNUMBER(SEARCH("WV:", O62)), "Texas",ISNUMBER(SEARCH("Nur-Home:", O62)), "Texas",ISNUMBER(SEARCH("THC:", O62)), "Texas",ISNUMBER(SEARCH("WVTC:", O62)), "Texas",ISNUMBER(SEARCH("TSC:", O62)), "Texas",ISNUMBER(SEARCH("V-AR Blvd:", O62)), "Arkansas",ISNUMBER(SEARCH("V-Maumelle:", O62)), "Arkansas",ISNUMBER(SEARCH("V-Atlanta:", O62)), "Texas",ISNUMBER(SEARCH("VBlanchard:", O62)), "Louisiana",ISNUMBER(SEARCH("V-Bryant:", O62)), "Arkansas",ISNUMBER(SEARCH("V-Choctaw:", O62)), "Oklahoma",ISNUMBER(SEARCH("V-DeQueen:", O62)), "Arkansas",ISNUMBER(SEARCH("V-Longview:", O62)), "Texas",ISNUMBER(SEARCH("V-Marshall:", O62)), "Texas",ISNUMBER(SEARCH("V-MWC:", O62)), "Oklahoma",ISNUMBER(SEARCH("V-Moore:", O62)), "Oklahoma",ISNUMBER(SEARCH("V-MP:", O62)), "Texas",ISNUMBER(SEARCH("V-Edmond:", O62)), "Oklahoma",ISNUMBER(SEARCH("V-Paris:", O62)), "Texas",ISNUMBER(SEARCH("V-RR:", O62)), "Texas",ISNUMBER(SEARCH("V-Sherwood:", O62)), "Arkansas",ISNUMBER(SEARCH("V-WV:", O62)), "Texas",ISNUMBER(SEARCH("HealthCARE Express - Richmond Road", O62)), "Texas",ISNUMBER(SEARCH("HealthCARE Express - Occupational Medicine", O62)), "Texas")</f>
        <v>Arkansas</v>
      </c>
      <c r="Q62" t="s">
        <v>841</v>
      </c>
      <c r="R62" t="s">
        <v>879</v>
      </c>
      <c r="S62" t="s">
        <v>96</v>
      </c>
      <c r="T62" t="s">
        <v>848</v>
      </c>
      <c r="U62" t="s">
        <v>864</v>
      </c>
      <c r="AF62" t="str" cm="1">
        <f t="array" ref="AF62">IF(SUMPRODUCT(--ISNUMBER(SEARCH("992",T62:AE62)))&gt;0, "E&amp;M", "No E&amp;M")</f>
        <v>E&amp;M</v>
      </c>
      <c r="AG62" t="str">
        <f t="shared" si="3"/>
        <v>99214</v>
      </c>
      <c r="AH62" t="str">
        <f t="shared" si="4"/>
        <v>Estd. Patient</v>
      </c>
      <c r="AI62" t="str">
        <f t="shared" si="6"/>
        <v>Little Rock Region</v>
      </c>
    </row>
    <row r="63" spans="1:35" x14ac:dyDescent="0.3">
      <c r="A63" t="s">
        <v>429</v>
      </c>
      <c r="B63" t="s">
        <v>357</v>
      </c>
      <c r="C63" t="s">
        <v>109</v>
      </c>
      <c r="D63" t="s">
        <v>430</v>
      </c>
      <c r="E63" t="s">
        <v>96</v>
      </c>
      <c r="F63" t="s">
        <v>19</v>
      </c>
      <c r="G63" t="s">
        <v>141</v>
      </c>
      <c r="H63" t="s">
        <v>401</v>
      </c>
      <c r="I63" t="s">
        <v>22</v>
      </c>
      <c r="J63" t="s">
        <v>22</v>
      </c>
      <c r="K63" t="s">
        <v>431</v>
      </c>
      <c r="L63" t="s">
        <v>432</v>
      </c>
      <c r="M63" t="s">
        <v>113</v>
      </c>
      <c r="N63" t="s">
        <v>430</v>
      </c>
      <c r="O63" t="s">
        <v>878</v>
      </c>
      <c r="P63" t="str" cm="1">
        <f t="array" ref="P63">_xlfn.IFS(ISNUMBER(SEARCH("AEIC:", O63)), "Arkansas",ISNUMBER(SEARCH("STM:", O63)), "Texas",ISNUMBER(SEARCH("BILLING:", O63)), "Texas",ISNUMBER(SEARCH("AM:", O63)), "Texas",ISNUMBER(SEARCH("ARBlvd:", O63)), "Arkansas",ISNUMBER(SEARCH("Atlanta:", O63)), "Texas",ISNUMBER(SEARCH("Blanchard:", O63)), "Louisiana",ISNUMBER(SEARCH("Bryant:", O63)), "Arkansas",ISNUMBER(SEARCH("Choctaw:", O63)), "Oklahoma",ISNUMBER(SEARCH("Choc Allgy:", O63)), "Oklahoma",ISNUMBER(SEARCH("DeQueen:", O63)), "Arkansas",ISNUMBER(SEARCH("Edmond:", O63)), "Oklahoma",ISNUMBER(SEARCH("Edmd Aller:", O63)), "Oklahoma",ISNUMBER(SEARCH("Imaging:", O63)), "Texas",ISNUMBER(SEARCH("Longview:", O63)), "Texas",ISNUMBER(SEARCH("Marshall:", O63)), "Texas",ISNUMBER(SEARCH("Mar Allerg:", O63)), "Texas",ISNUMBER(SEARCH("Maumelle:", O63)), "Arkansas",ISNUMBER(SEARCH("MWC:", O63)), "Oklahoma",ISNUMBER(SEARCH("MWC Allgy:", O63)), "Oklahoma",ISNUMBER(SEARCH("Moore:", O63)), "Oklahoma",ISNUMBER(SEARCH("MooreAllgy:", O63)), "Oklahoma",ISNUMBER(SEARCH("MtPleasant:", O63)), "Texas",ISNUMBER(SEARCH("OccOffsite:", O63)), "Texas",ISNUMBER(SEARCH("Pain Mgmt:", O63)), "Texas",ISNUMBER(SEARCH("Paris:", O63)), "Texas",ISNUMBER(SEARCH("PT:", O63)), "Texas",ISNUMBER(SEARCH("RR Allergy:", O63)), "Texas",ISNUMBER(SEARCH("Sherwood:", O63)), "Arkansas",ISNUMBER(SEARCH("WV:", O63)), "Texas",ISNUMBER(SEARCH("Nur-Home:", O63)), "Texas",ISNUMBER(SEARCH("THC:", O63)), "Texas",ISNUMBER(SEARCH("WVTC:", O63)), "Texas",ISNUMBER(SEARCH("TSC:", O63)), "Texas",ISNUMBER(SEARCH("V-AR Blvd:", O63)), "Arkansas",ISNUMBER(SEARCH("V-Maumelle:", O63)), "Arkansas",ISNUMBER(SEARCH("V-Atlanta:", O63)), "Texas",ISNUMBER(SEARCH("VBlanchard:", O63)), "Louisiana",ISNUMBER(SEARCH("V-Bryant:", O63)), "Arkansas",ISNUMBER(SEARCH("V-Choctaw:", O63)), "Oklahoma",ISNUMBER(SEARCH("V-DeQueen:", O63)), "Arkansas",ISNUMBER(SEARCH("V-Longview:", O63)), "Texas",ISNUMBER(SEARCH("V-Marshall:", O63)), "Texas",ISNUMBER(SEARCH("V-MWC:", O63)), "Oklahoma",ISNUMBER(SEARCH("V-Moore:", O63)), "Oklahoma",ISNUMBER(SEARCH("V-MP:", O63)), "Texas",ISNUMBER(SEARCH("V-Edmond:", O63)), "Oklahoma",ISNUMBER(SEARCH("V-Paris:", O63)), "Texas",ISNUMBER(SEARCH("V-RR:", O63)), "Texas",ISNUMBER(SEARCH("V-Sherwood:", O63)), "Arkansas",ISNUMBER(SEARCH("V-WV:", O63)), "Texas",ISNUMBER(SEARCH("HealthCARE Express - Richmond Road", O63)), "Texas",ISNUMBER(SEARCH("HealthCARE Express - Occupational Medicine", O63)), "Texas")</f>
        <v>Arkansas</v>
      </c>
      <c r="Q63" t="s">
        <v>841</v>
      </c>
      <c r="R63" t="s">
        <v>879</v>
      </c>
      <c r="S63" t="s">
        <v>96</v>
      </c>
      <c r="T63" t="s">
        <v>848</v>
      </c>
      <c r="U63" t="s">
        <v>873</v>
      </c>
      <c r="AF63" t="str" cm="1">
        <f t="array" ref="AF63">IF(SUMPRODUCT(--ISNUMBER(SEARCH("992",T63:AE63)))&gt;0, "E&amp;M", "No E&amp;M")</f>
        <v>E&amp;M</v>
      </c>
      <c r="AG63" t="str">
        <f t="shared" si="3"/>
        <v>99214</v>
      </c>
      <c r="AH63" t="str">
        <f t="shared" si="4"/>
        <v>Estd. Patient</v>
      </c>
      <c r="AI63" t="str">
        <f t="shared" si="6"/>
        <v>Little Rock Region</v>
      </c>
    </row>
    <row r="64" spans="1:35" x14ac:dyDescent="0.3">
      <c r="A64" t="s">
        <v>433</v>
      </c>
      <c r="B64" t="s">
        <v>357</v>
      </c>
      <c r="C64" t="s">
        <v>109</v>
      </c>
      <c r="D64" t="s">
        <v>434</v>
      </c>
      <c r="E64" t="s">
        <v>342</v>
      </c>
      <c r="F64" t="s">
        <v>19</v>
      </c>
      <c r="G64" t="s">
        <v>435</v>
      </c>
      <c r="H64" t="s">
        <v>88</v>
      </c>
      <c r="I64" t="s">
        <v>22</v>
      </c>
      <c r="J64" t="s">
        <v>22</v>
      </c>
      <c r="K64" t="s">
        <v>436</v>
      </c>
      <c r="L64" t="s">
        <v>437</v>
      </c>
      <c r="M64" t="s">
        <v>113</v>
      </c>
      <c r="N64" t="s">
        <v>434</v>
      </c>
      <c r="O64" t="s">
        <v>878</v>
      </c>
      <c r="P64" t="str" cm="1">
        <f t="array" ref="P64">_xlfn.IFS(ISNUMBER(SEARCH("AEIC:", O64)), "Arkansas",ISNUMBER(SEARCH("STM:", O64)), "Texas",ISNUMBER(SEARCH("BILLING:", O64)), "Texas",ISNUMBER(SEARCH("AM:", O64)), "Texas",ISNUMBER(SEARCH("ARBlvd:", O64)), "Arkansas",ISNUMBER(SEARCH("Atlanta:", O64)), "Texas",ISNUMBER(SEARCH("Blanchard:", O64)), "Louisiana",ISNUMBER(SEARCH("Bryant:", O64)), "Arkansas",ISNUMBER(SEARCH("Choctaw:", O64)), "Oklahoma",ISNUMBER(SEARCH("Choc Allgy:", O64)), "Oklahoma",ISNUMBER(SEARCH("DeQueen:", O64)), "Arkansas",ISNUMBER(SEARCH("Edmond:", O64)), "Oklahoma",ISNUMBER(SEARCH("Edmd Aller:", O64)), "Oklahoma",ISNUMBER(SEARCH("Imaging:", O64)), "Texas",ISNUMBER(SEARCH("Longview:", O64)), "Texas",ISNUMBER(SEARCH("Marshall:", O64)), "Texas",ISNUMBER(SEARCH("Mar Allerg:", O64)), "Texas",ISNUMBER(SEARCH("Maumelle:", O64)), "Arkansas",ISNUMBER(SEARCH("MWC:", O64)), "Oklahoma",ISNUMBER(SEARCH("MWC Allgy:", O64)), "Oklahoma",ISNUMBER(SEARCH("Moore:", O64)), "Oklahoma",ISNUMBER(SEARCH("MooreAllgy:", O64)), "Oklahoma",ISNUMBER(SEARCH("MtPleasant:", O64)), "Texas",ISNUMBER(SEARCH("OccOffsite:", O64)), "Texas",ISNUMBER(SEARCH("Pain Mgmt:", O64)), "Texas",ISNUMBER(SEARCH("Paris:", O64)), "Texas",ISNUMBER(SEARCH("PT:", O64)), "Texas",ISNUMBER(SEARCH("RR Allergy:", O64)), "Texas",ISNUMBER(SEARCH("Sherwood:", O64)), "Arkansas",ISNUMBER(SEARCH("WV:", O64)), "Texas",ISNUMBER(SEARCH("Nur-Home:", O64)), "Texas",ISNUMBER(SEARCH("THC:", O64)), "Texas",ISNUMBER(SEARCH("WVTC:", O64)), "Texas",ISNUMBER(SEARCH("TSC:", O64)), "Texas",ISNUMBER(SEARCH("V-AR Blvd:", O64)), "Arkansas",ISNUMBER(SEARCH("V-Maumelle:", O64)), "Arkansas",ISNUMBER(SEARCH("V-Atlanta:", O64)), "Texas",ISNUMBER(SEARCH("VBlanchard:", O64)), "Louisiana",ISNUMBER(SEARCH("V-Bryant:", O64)), "Arkansas",ISNUMBER(SEARCH("V-Choctaw:", O64)), "Oklahoma",ISNUMBER(SEARCH("V-DeQueen:", O64)), "Arkansas",ISNUMBER(SEARCH("V-Longview:", O64)), "Texas",ISNUMBER(SEARCH("V-Marshall:", O64)), "Texas",ISNUMBER(SEARCH("V-MWC:", O64)), "Oklahoma",ISNUMBER(SEARCH("V-Moore:", O64)), "Oklahoma",ISNUMBER(SEARCH("V-MP:", O64)), "Texas",ISNUMBER(SEARCH("V-Edmond:", O64)), "Oklahoma",ISNUMBER(SEARCH("V-Paris:", O64)), "Texas",ISNUMBER(SEARCH("V-RR:", O64)), "Texas",ISNUMBER(SEARCH("V-Sherwood:", O64)), "Arkansas",ISNUMBER(SEARCH("V-WV:", O64)), "Texas",ISNUMBER(SEARCH("HealthCARE Express - Richmond Road", O64)), "Texas",ISNUMBER(SEARCH("HealthCARE Express - Occupational Medicine", O64)), "Texas")</f>
        <v>Arkansas</v>
      </c>
      <c r="Q64" t="s">
        <v>841</v>
      </c>
      <c r="R64" t="s">
        <v>876</v>
      </c>
      <c r="S64" t="s">
        <v>342</v>
      </c>
      <c r="T64" t="s">
        <v>848</v>
      </c>
      <c r="U64" t="s">
        <v>880</v>
      </c>
      <c r="V64" t="s">
        <v>873</v>
      </c>
      <c r="W64" t="s">
        <v>864</v>
      </c>
      <c r="X64" t="s">
        <v>864</v>
      </c>
      <c r="AF64" t="str" cm="1">
        <f t="array" ref="AF64">IF(SUMPRODUCT(--ISNUMBER(SEARCH("992",T64:AE64)))&gt;0, "E&amp;M", "No E&amp;M")</f>
        <v>E&amp;M</v>
      </c>
      <c r="AG64" t="str">
        <f t="shared" si="3"/>
        <v>99214</v>
      </c>
      <c r="AH64" t="str">
        <f t="shared" si="4"/>
        <v>Estd. Patient</v>
      </c>
      <c r="AI64" t="str">
        <f t="shared" si="6"/>
        <v>Little Rock Region</v>
      </c>
    </row>
    <row r="65" spans="1:35" x14ac:dyDescent="0.3">
      <c r="A65" t="s">
        <v>438</v>
      </c>
      <c r="B65" t="s">
        <v>357</v>
      </c>
      <c r="C65" t="s">
        <v>109</v>
      </c>
      <c r="D65" t="s">
        <v>439</v>
      </c>
      <c r="E65" t="s">
        <v>281</v>
      </c>
      <c r="F65" t="s">
        <v>19</v>
      </c>
      <c r="G65" t="s">
        <v>440</v>
      </c>
      <c r="H65" t="s">
        <v>79</v>
      </c>
      <c r="I65" t="s">
        <v>22</v>
      </c>
      <c r="J65" t="s">
        <v>22</v>
      </c>
      <c r="K65" t="s">
        <v>441</v>
      </c>
      <c r="L65" t="s">
        <v>442</v>
      </c>
      <c r="M65" t="s">
        <v>113</v>
      </c>
      <c r="N65" t="s">
        <v>443</v>
      </c>
      <c r="O65" t="s">
        <v>878</v>
      </c>
      <c r="P65" t="str" cm="1">
        <f t="array" ref="P65">_xlfn.IFS(ISNUMBER(SEARCH("AEIC:", O65)), "Arkansas",ISNUMBER(SEARCH("STM:", O65)), "Texas",ISNUMBER(SEARCH("BILLING:", O65)), "Texas",ISNUMBER(SEARCH("AM:", O65)), "Texas",ISNUMBER(SEARCH("ARBlvd:", O65)), "Arkansas",ISNUMBER(SEARCH("Atlanta:", O65)), "Texas",ISNUMBER(SEARCH("Blanchard:", O65)), "Louisiana",ISNUMBER(SEARCH("Bryant:", O65)), "Arkansas",ISNUMBER(SEARCH("Choctaw:", O65)), "Oklahoma",ISNUMBER(SEARCH("Choc Allgy:", O65)), "Oklahoma",ISNUMBER(SEARCH("DeQueen:", O65)), "Arkansas",ISNUMBER(SEARCH("Edmond:", O65)), "Oklahoma",ISNUMBER(SEARCH("Edmd Aller:", O65)), "Oklahoma",ISNUMBER(SEARCH("Imaging:", O65)), "Texas",ISNUMBER(SEARCH("Longview:", O65)), "Texas",ISNUMBER(SEARCH("Marshall:", O65)), "Texas",ISNUMBER(SEARCH("Mar Allerg:", O65)), "Texas",ISNUMBER(SEARCH("Maumelle:", O65)), "Arkansas",ISNUMBER(SEARCH("MWC:", O65)), "Oklahoma",ISNUMBER(SEARCH("MWC Allgy:", O65)), "Oklahoma",ISNUMBER(SEARCH("Moore:", O65)), "Oklahoma",ISNUMBER(SEARCH("MooreAllgy:", O65)), "Oklahoma",ISNUMBER(SEARCH("MtPleasant:", O65)), "Texas",ISNUMBER(SEARCH("OccOffsite:", O65)), "Texas",ISNUMBER(SEARCH("Pain Mgmt:", O65)), "Texas",ISNUMBER(SEARCH("Paris:", O65)), "Texas",ISNUMBER(SEARCH("PT:", O65)), "Texas",ISNUMBER(SEARCH("RR Allergy:", O65)), "Texas",ISNUMBER(SEARCH("Sherwood:", O65)), "Arkansas",ISNUMBER(SEARCH("WV:", O65)), "Texas",ISNUMBER(SEARCH("Nur-Home:", O65)), "Texas",ISNUMBER(SEARCH("THC:", O65)), "Texas",ISNUMBER(SEARCH("WVTC:", O65)), "Texas",ISNUMBER(SEARCH("TSC:", O65)), "Texas",ISNUMBER(SEARCH("V-AR Blvd:", O65)), "Arkansas",ISNUMBER(SEARCH("V-Maumelle:", O65)), "Arkansas",ISNUMBER(SEARCH("V-Atlanta:", O65)), "Texas",ISNUMBER(SEARCH("VBlanchard:", O65)), "Louisiana",ISNUMBER(SEARCH("V-Bryant:", O65)), "Arkansas",ISNUMBER(SEARCH("V-Choctaw:", O65)), "Oklahoma",ISNUMBER(SEARCH("V-DeQueen:", O65)), "Arkansas",ISNUMBER(SEARCH("V-Longview:", O65)), "Texas",ISNUMBER(SEARCH("V-Marshall:", O65)), "Texas",ISNUMBER(SEARCH("V-MWC:", O65)), "Oklahoma",ISNUMBER(SEARCH("V-Moore:", O65)), "Oklahoma",ISNUMBER(SEARCH("V-MP:", O65)), "Texas",ISNUMBER(SEARCH("V-Edmond:", O65)), "Oklahoma",ISNUMBER(SEARCH("V-Paris:", O65)), "Texas",ISNUMBER(SEARCH("V-RR:", O65)), "Texas",ISNUMBER(SEARCH("V-Sherwood:", O65)), "Arkansas",ISNUMBER(SEARCH("V-WV:", O65)), "Texas",ISNUMBER(SEARCH("HealthCARE Express - Richmond Road", O65)), "Texas",ISNUMBER(SEARCH("HealthCARE Express - Occupational Medicine", O65)), "Texas")</f>
        <v>Arkansas</v>
      </c>
      <c r="Q65" t="s">
        <v>841</v>
      </c>
      <c r="R65" t="s">
        <v>879</v>
      </c>
      <c r="S65" t="s">
        <v>281</v>
      </c>
      <c r="T65" t="s">
        <v>848</v>
      </c>
      <c r="AF65" t="str" cm="1">
        <f t="array" ref="AF65">IF(SUMPRODUCT(--ISNUMBER(SEARCH("992",T65:AE65)))&gt;0, "E&amp;M", "No E&amp;M")</f>
        <v>E&amp;M</v>
      </c>
      <c r="AG65" t="str">
        <f t="shared" si="3"/>
        <v>99214</v>
      </c>
      <c r="AH65" t="str">
        <f t="shared" si="4"/>
        <v>Estd. Patient</v>
      </c>
      <c r="AI65" t="str">
        <f t="shared" si="6"/>
        <v>Little Rock Region</v>
      </c>
    </row>
    <row r="66" spans="1:35" x14ac:dyDescent="0.3">
      <c r="A66" t="s">
        <v>444</v>
      </c>
      <c r="B66" t="s">
        <v>357</v>
      </c>
      <c r="C66" t="s">
        <v>386</v>
      </c>
      <c r="D66" t="s">
        <v>445</v>
      </c>
      <c r="E66" t="s">
        <v>96</v>
      </c>
      <c r="F66" t="s">
        <v>19</v>
      </c>
      <c r="G66" t="s">
        <v>446</v>
      </c>
      <c r="H66" t="s">
        <v>79</v>
      </c>
      <c r="I66" t="s">
        <v>22</v>
      </c>
      <c r="J66" t="s">
        <v>22</v>
      </c>
      <c r="K66" t="s">
        <v>447</v>
      </c>
      <c r="L66" t="s">
        <v>448</v>
      </c>
      <c r="M66" t="s">
        <v>392</v>
      </c>
      <c r="N66" t="s">
        <v>445</v>
      </c>
      <c r="O66" t="s">
        <v>874</v>
      </c>
      <c r="P66" t="str" cm="1">
        <f t="array" ref="P66">_xlfn.IFS(ISNUMBER(SEARCH("AEIC:", O66)), "Arkansas",ISNUMBER(SEARCH("STM:", O66)), "Texas",ISNUMBER(SEARCH("BILLING:", O66)), "Texas",ISNUMBER(SEARCH("AM:", O66)), "Texas",ISNUMBER(SEARCH("ARBlvd:", O66)), "Arkansas",ISNUMBER(SEARCH("Atlanta:", O66)), "Texas",ISNUMBER(SEARCH("Blanchard:", O66)), "Louisiana",ISNUMBER(SEARCH("Bryant:", O66)), "Arkansas",ISNUMBER(SEARCH("Choctaw:", O66)), "Oklahoma",ISNUMBER(SEARCH("Choc Allgy:", O66)), "Oklahoma",ISNUMBER(SEARCH("DeQueen:", O66)), "Arkansas",ISNUMBER(SEARCH("Edmond:", O66)), "Oklahoma",ISNUMBER(SEARCH("Edmd Aller:", O66)), "Oklahoma",ISNUMBER(SEARCH("Imaging:", O66)), "Texas",ISNUMBER(SEARCH("Longview:", O66)), "Texas",ISNUMBER(SEARCH("Marshall:", O66)), "Texas",ISNUMBER(SEARCH("Mar Allerg:", O66)), "Texas",ISNUMBER(SEARCH("Maumelle:", O66)), "Arkansas",ISNUMBER(SEARCH("MWC:", O66)), "Oklahoma",ISNUMBER(SEARCH("MWC Allgy:", O66)), "Oklahoma",ISNUMBER(SEARCH("Moore:", O66)), "Oklahoma",ISNUMBER(SEARCH("MooreAllgy:", O66)), "Oklahoma",ISNUMBER(SEARCH("MtPleasant:", O66)), "Texas",ISNUMBER(SEARCH("OccOffsite:", O66)), "Texas",ISNUMBER(SEARCH("Pain Mgmt:", O66)), "Texas",ISNUMBER(SEARCH("Paris:", O66)), "Texas",ISNUMBER(SEARCH("PT:", O66)), "Texas",ISNUMBER(SEARCH("RR Allergy:", O66)), "Texas",ISNUMBER(SEARCH("Sherwood:", O66)), "Arkansas",ISNUMBER(SEARCH("WV:", O66)), "Texas",ISNUMBER(SEARCH("Nur-Home:", O66)), "Texas",ISNUMBER(SEARCH("THC:", O66)), "Texas",ISNUMBER(SEARCH("WVTC:", O66)), "Texas",ISNUMBER(SEARCH("TSC:", O66)), "Texas",ISNUMBER(SEARCH("V-AR Blvd:", O66)), "Arkansas",ISNUMBER(SEARCH("V-Maumelle:", O66)), "Arkansas",ISNUMBER(SEARCH("V-Atlanta:", O66)), "Texas",ISNUMBER(SEARCH("VBlanchard:", O66)), "Louisiana",ISNUMBER(SEARCH("V-Bryant:", O66)), "Arkansas",ISNUMBER(SEARCH("V-Choctaw:", O66)), "Oklahoma",ISNUMBER(SEARCH("V-DeQueen:", O66)), "Arkansas",ISNUMBER(SEARCH("V-Longview:", O66)), "Texas",ISNUMBER(SEARCH("V-Marshall:", O66)), "Texas",ISNUMBER(SEARCH("V-MWC:", O66)), "Oklahoma",ISNUMBER(SEARCH("V-Moore:", O66)), "Oklahoma",ISNUMBER(SEARCH("V-MP:", O66)), "Texas",ISNUMBER(SEARCH("V-Edmond:", O66)), "Oklahoma",ISNUMBER(SEARCH("V-Paris:", O66)), "Texas",ISNUMBER(SEARCH("V-RR:", O66)), "Texas",ISNUMBER(SEARCH("V-Sherwood:", O66)), "Arkansas",ISNUMBER(SEARCH("V-WV:", O66)), "Texas",ISNUMBER(SEARCH("HealthCARE Express - Richmond Road", O66)), "Texas",ISNUMBER(SEARCH("HealthCARE Express - Occupational Medicine", O66)), "Texas")</f>
        <v>Arkansas</v>
      </c>
      <c r="Q66" t="s">
        <v>841</v>
      </c>
      <c r="R66" t="s">
        <v>879</v>
      </c>
      <c r="S66" t="s">
        <v>96</v>
      </c>
      <c r="T66" t="s">
        <v>857</v>
      </c>
      <c r="U66" t="s">
        <v>880</v>
      </c>
      <c r="V66" t="s">
        <v>849</v>
      </c>
      <c r="AF66" t="str" cm="1">
        <f t="array" ref="AF66">IF(SUMPRODUCT(--ISNUMBER(SEARCH("992",T66:AE66)))&gt;0, "E&amp;M", "No E&amp;M")</f>
        <v>E&amp;M</v>
      </c>
      <c r="AG66" t="str">
        <f t="shared" si="3"/>
        <v>99204</v>
      </c>
      <c r="AH66" t="str">
        <f t="shared" si="4"/>
        <v>New Patient</v>
      </c>
      <c r="AI66" t="str">
        <f t="shared" si="6"/>
        <v>Little Rock Region</v>
      </c>
    </row>
    <row r="67" spans="1:35" x14ac:dyDescent="0.3">
      <c r="A67" t="s">
        <v>449</v>
      </c>
      <c r="B67" t="s">
        <v>357</v>
      </c>
      <c r="C67" t="s">
        <v>358</v>
      </c>
      <c r="D67" t="s">
        <v>450</v>
      </c>
      <c r="E67" t="s">
        <v>111</v>
      </c>
      <c r="F67" t="s">
        <v>19</v>
      </c>
      <c r="G67" t="s">
        <v>274</v>
      </c>
      <c r="H67" t="s">
        <v>22</v>
      </c>
      <c r="I67" t="s">
        <v>22</v>
      </c>
      <c r="J67" t="s">
        <v>22</v>
      </c>
      <c r="K67" t="s">
        <v>274</v>
      </c>
      <c r="L67" t="s">
        <v>451</v>
      </c>
      <c r="M67" t="s">
        <v>363</v>
      </c>
      <c r="N67" t="s">
        <v>450</v>
      </c>
      <c r="O67" t="s">
        <v>883</v>
      </c>
      <c r="P67" t="str" cm="1">
        <f t="array" ref="P67">_xlfn.IFS(ISNUMBER(SEARCH("AEIC:", O67)), "Arkansas",ISNUMBER(SEARCH("STM:", O67)), "Texas",ISNUMBER(SEARCH("BILLING:", O67)), "Texas",ISNUMBER(SEARCH("AM:", O67)), "Texas",ISNUMBER(SEARCH("ARBlvd:", O67)), "Arkansas",ISNUMBER(SEARCH("Atlanta:", O67)), "Texas",ISNUMBER(SEARCH("Blanchard:", O67)), "Louisiana",ISNUMBER(SEARCH("Bryant:", O67)), "Arkansas",ISNUMBER(SEARCH("Choctaw:", O67)), "Oklahoma",ISNUMBER(SEARCH("Choc Allgy:", O67)), "Oklahoma",ISNUMBER(SEARCH("DeQueen:", O67)), "Arkansas",ISNUMBER(SEARCH("Edmond:", O67)), "Oklahoma",ISNUMBER(SEARCH("Edmd Aller:", O67)), "Oklahoma",ISNUMBER(SEARCH("Imaging:", O67)), "Texas",ISNUMBER(SEARCH("Longview:", O67)), "Texas",ISNUMBER(SEARCH("Marshall:", O67)), "Texas",ISNUMBER(SEARCH("Mar Allerg:", O67)), "Texas",ISNUMBER(SEARCH("Maumelle:", O67)), "Arkansas",ISNUMBER(SEARCH("MWC:", O67)), "Oklahoma",ISNUMBER(SEARCH("MWC Allgy:", O67)), "Oklahoma",ISNUMBER(SEARCH("Moore:", O67)), "Oklahoma",ISNUMBER(SEARCH("MooreAllgy:", O67)), "Oklahoma",ISNUMBER(SEARCH("MtPleasant:", O67)), "Texas",ISNUMBER(SEARCH("OccOffsite:", O67)), "Texas",ISNUMBER(SEARCH("Pain Mgmt:", O67)), "Texas",ISNUMBER(SEARCH("Paris:", O67)), "Texas",ISNUMBER(SEARCH("PT:", O67)), "Texas",ISNUMBER(SEARCH("RR Allergy:", O67)), "Texas",ISNUMBER(SEARCH("Sherwood:", O67)), "Arkansas",ISNUMBER(SEARCH("WV:", O67)), "Texas",ISNUMBER(SEARCH("Nur-Home:", O67)), "Texas",ISNUMBER(SEARCH("THC:", O67)), "Texas",ISNUMBER(SEARCH("WVTC:", O67)), "Texas",ISNUMBER(SEARCH("TSC:", O67)), "Texas",ISNUMBER(SEARCH("V-AR Blvd:", O67)), "Arkansas",ISNUMBER(SEARCH("V-Maumelle:", O67)), "Arkansas",ISNUMBER(SEARCH("V-Atlanta:", O67)), "Texas",ISNUMBER(SEARCH("VBlanchard:", O67)), "Louisiana",ISNUMBER(SEARCH("V-Bryant:", O67)), "Arkansas",ISNUMBER(SEARCH("V-Choctaw:", O67)), "Oklahoma",ISNUMBER(SEARCH("V-DeQueen:", O67)), "Arkansas",ISNUMBER(SEARCH("V-Longview:", O67)), "Texas",ISNUMBER(SEARCH("V-Marshall:", O67)), "Texas",ISNUMBER(SEARCH("V-MWC:", O67)), "Oklahoma",ISNUMBER(SEARCH("V-Moore:", O67)), "Oklahoma",ISNUMBER(SEARCH("V-MP:", O67)), "Texas",ISNUMBER(SEARCH("V-Edmond:", O67)), "Oklahoma",ISNUMBER(SEARCH("V-Paris:", O67)), "Texas",ISNUMBER(SEARCH("V-RR:", O67)), "Texas",ISNUMBER(SEARCH("V-Sherwood:", O67)), "Arkansas",ISNUMBER(SEARCH("V-WV:", O67)), "Texas",ISNUMBER(SEARCH("HealthCARE Express - Richmond Road", O67)), "Texas",ISNUMBER(SEARCH("HealthCARE Express - Occupational Medicine", O67)), "Texas")</f>
        <v>Arkansas</v>
      </c>
      <c r="Q67" t="s">
        <v>841</v>
      </c>
      <c r="R67" t="s">
        <v>872</v>
      </c>
      <c r="S67" t="s">
        <v>111</v>
      </c>
      <c r="T67" t="s">
        <v>848</v>
      </c>
      <c r="U67" t="s">
        <v>864</v>
      </c>
      <c r="AF67" t="str" cm="1">
        <f t="array" ref="AF67">IF(SUMPRODUCT(--ISNUMBER(SEARCH("992",T67:AE67)))&gt;0, "E&amp;M", "No E&amp;M")</f>
        <v>E&amp;M</v>
      </c>
      <c r="AG67" t="str">
        <f t="shared" ref="AG67:AG130" si="7">IFERROR(MID(T67,SEARCH("992",T67),5), IFERROR(MID(U67,SEARCH("992",U67),5), IFERROR(MID(V67,SEARCH("992",V67),5), IFERROR(MID(W67,SEARCH("992",W67),5), IFERROR(MID(X67,SEARCH("992",X67),5), IFERROR(MID(Y67,SEARCH("992",Y67),5), IFERROR(MID(Z67,SEARCH("992",Z67),5), IFERROR(MID(AA67,SEARCH("992",AA67),5), IFERROR(MID(AB67,SEARCH("992",AB67),5), IFERROR(MID(AC67,SEARCH("992",AC67),5), IFERROR(MID(AD67,SEARCH("992",AD67),5), IFERROR(MID(AE67,SEARCH("992",AE67),5), "No E&amp;M"))))))))))))</f>
        <v>99214</v>
      </c>
      <c r="AH67" t="str">
        <f t="shared" ref="AH67:AH130" si="8">IF(ISNUMBER(SEARCH("9920", AG67)), "New Patient", IF(ISNUMBER(SEARCH("9921", AG67)), "Estd. Patient", IF(ISNUMBER(SEARCH("No E&amp;M", AG67)), "No E&amp;M", "")))</f>
        <v>Estd. Patient</v>
      </c>
      <c r="AI67" t="str">
        <f t="shared" si="6"/>
        <v>Little Rock Region</v>
      </c>
    </row>
    <row r="68" spans="1:35" x14ac:dyDescent="0.3">
      <c r="A68" t="s">
        <v>452</v>
      </c>
      <c r="B68" t="s">
        <v>357</v>
      </c>
      <c r="C68" t="s">
        <v>386</v>
      </c>
      <c r="D68" t="s">
        <v>453</v>
      </c>
      <c r="E68" t="s">
        <v>454</v>
      </c>
      <c r="F68" t="s">
        <v>19</v>
      </c>
      <c r="G68" t="s">
        <v>455</v>
      </c>
      <c r="H68" t="s">
        <v>98</v>
      </c>
      <c r="I68" t="s">
        <v>22</v>
      </c>
      <c r="J68" t="s">
        <v>22</v>
      </c>
      <c r="K68" t="s">
        <v>456</v>
      </c>
      <c r="L68" t="s">
        <v>457</v>
      </c>
      <c r="M68" t="s">
        <v>392</v>
      </c>
      <c r="N68" t="s">
        <v>458</v>
      </c>
      <c r="O68" t="s">
        <v>874</v>
      </c>
      <c r="P68" t="str" cm="1">
        <f t="array" ref="P68">_xlfn.IFS(ISNUMBER(SEARCH("AEIC:", O68)), "Arkansas",ISNUMBER(SEARCH("STM:", O68)), "Texas",ISNUMBER(SEARCH("BILLING:", O68)), "Texas",ISNUMBER(SEARCH("AM:", O68)), "Texas",ISNUMBER(SEARCH("ARBlvd:", O68)), "Arkansas",ISNUMBER(SEARCH("Atlanta:", O68)), "Texas",ISNUMBER(SEARCH("Blanchard:", O68)), "Louisiana",ISNUMBER(SEARCH("Bryant:", O68)), "Arkansas",ISNUMBER(SEARCH("Choctaw:", O68)), "Oklahoma",ISNUMBER(SEARCH("Choc Allgy:", O68)), "Oklahoma",ISNUMBER(SEARCH("DeQueen:", O68)), "Arkansas",ISNUMBER(SEARCH("Edmond:", O68)), "Oklahoma",ISNUMBER(SEARCH("Edmd Aller:", O68)), "Oklahoma",ISNUMBER(SEARCH("Imaging:", O68)), "Texas",ISNUMBER(SEARCH("Longview:", O68)), "Texas",ISNUMBER(SEARCH("Marshall:", O68)), "Texas",ISNUMBER(SEARCH("Mar Allerg:", O68)), "Texas",ISNUMBER(SEARCH("Maumelle:", O68)), "Arkansas",ISNUMBER(SEARCH("MWC:", O68)), "Oklahoma",ISNUMBER(SEARCH("MWC Allgy:", O68)), "Oklahoma",ISNUMBER(SEARCH("Moore:", O68)), "Oklahoma",ISNUMBER(SEARCH("MooreAllgy:", O68)), "Oklahoma",ISNUMBER(SEARCH("MtPleasant:", O68)), "Texas",ISNUMBER(SEARCH("OccOffsite:", O68)), "Texas",ISNUMBER(SEARCH("Pain Mgmt:", O68)), "Texas",ISNUMBER(SEARCH("Paris:", O68)), "Texas",ISNUMBER(SEARCH("PT:", O68)), "Texas",ISNUMBER(SEARCH("RR Allergy:", O68)), "Texas",ISNUMBER(SEARCH("Sherwood:", O68)), "Arkansas",ISNUMBER(SEARCH("WV:", O68)), "Texas",ISNUMBER(SEARCH("Nur-Home:", O68)), "Texas",ISNUMBER(SEARCH("THC:", O68)), "Texas",ISNUMBER(SEARCH("WVTC:", O68)), "Texas",ISNUMBER(SEARCH("TSC:", O68)), "Texas",ISNUMBER(SEARCH("V-AR Blvd:", O68)), "Arkansas",ISNUMBER(SEARCH("V-Maumelle:", O68)), "Arkansas",ISNUMBER(SEARCH("V-Atlanta:", O68)), "Texas",ISNUMBER(SEARCH("VBlanchard:", O68)), "Louisiana",ISNUMBER(SEARCH("V-Bryant:", O68)), "Arkansas",ISNUMBER(SEARCH("V-Choctaw:", O68)), "Oklahoma",ISNUMBER(SEARCH("V-DeQueen:", O68)), "Arkansas",ISNUMBER(SEARCH("V-Longview:", O68)), "Texas",ISNUMBER(SEARCH("V-Marshall:", O68)), "Texas",ISNUMBER(SEARCH("V-MWC:", O68)), "Oklahoma",ISNUMBER(SEARCH("V-Moore:", O68)), "Oklahoma",ISNUMBER(SEARCH("V-MP:", O68)), "Texas",ISNUMBER(SEARCH("V-Edmond:", O68)), "Oklahoma",ISNUMBER(SEARCH("V-Paris:", O68)), "Texas",ISNUMBER(SEARCH("V-RR:", O68)), "Texas",ISNUMBER(SEARCH("V-Sherwood:", O68)), "Arkansas",ISNUMBER(SEARCH("V-WV:", O68)), "Texas",ISNUMBER(SEARCH("HealthCARE Express - Richmond Road", O68)), "Texas",ISNUMBER(SEARCH("HealthCARE Express - Occupational Medicine", O68)), "Texas")</f>
        <v>Arkansas</v>
      </c>
      <c r="Q68" t="s">
        <v>841</v>
      </c>
      <c r="R68" t="s">
        <v>879</v>
      </c>
      <c r="S68" t="s">
        <v>454</v>
      </c>
      <c r="T68" t="s">
        <v>842</v>
      </c>
      <c r="U68" t="s">
        <v>926</v>
      </c>
      <c r="AF68" t="str" cm="1">
        <f t="array" ref="AF68">IF(SUMPRODUCT(--ISNUMBER(SEARCH("992",T68:AE68)))&gt;0, "E&amp;M", "No E&amp;M")</f>
        <v>E&amp;M</v>
      </c>
      <c r="AG68" t="str">
        <f t="shared" si="7"/>
        <v>99213</v>
      </c>
      <c r="AH68" t="str">
        <f t="shared" si="8"/>
        <v>Estd. Patient</v>
      </c>
      <c r="AI68" t="str">
        <f t="shared" si="6"/>
        <v>Little Rock Region</v>
      </c>
    </row>
    <row r="69" spans="1:35" x14ac:dyDescent="0.3">
      <c r="A69" t="s">
        <v>459</v>
      </c>
      <c r="B69" t="s">
        <v>357</v>
      </c>
      <c r="C69" t="s">
        <v>358</v>
      </c>
      <c r="D69" t="s">
        <v>460</v>
      </c>
      <c r="E69" t="s">
        <v>124</v>
      </c>
      <c r="F69" t="s">
        <v>19</v>
      </c>
      <c r="G69" t="s">
        <v>141</v>
      </c>
      <c r="H69" t="s">
        <v>79</v>
      </c>
      <c r="I69" t="s">
        <v>22</v>
      </c>
      <c r="J69" t="s">
        <v>22</v>
      </c>
      <c r="K69" t="s">
        <v>461</v>
      </c>
      <c r="L69" t="s">
        <v>462</v>
      </c>
      <c r="M69" t="s">
        <v>363</v>
      </c>
      <c r="N69" t="s">
        <v>463</v>
      </c>
      <c r="O69" t="s">
        <v>883</v>
      </c>
      <c r="P69" t="str" cm="1">
        <f t="array" ref="P69">_xlfn.IFS(ISNUMBER(SEARCH("AEIC:", O69)), "Arkansas",ISNUMBER(SEARCH("STM:", O69)), "Texas",ISNUMBER(SEARCH("BILLING:", O69)), "Texas",ISNUMBER(SEARCH("AM:", O69)), "Texas",ISNUMBER(SEARCH("ARBlvd:", O69)), "Arkansas",ISNUMBER(SEARCH("Atlanta:", O69)), "Texas",ISNUMBER(SEARCH("Blanchard:", O69)), "Louisiana",ISNUMBER(SEARCH("Bryant:", O69)), "Arkansas",ISNUMBER(SEARCH("Choctaw:", O69)), "Oklahoma",ISNUMBER(SEARCH("Choc Allgy:", O69)), "Oklahoma",ISNUMBER(SEARCH("DeQueen:", O69)), "Arkansas",ISNUMBER(SEARCH("Edmond:", O69)), "Oklahoma",ISNUMBER(SEARCH("Edmd Aller:", O69)), "Oklahoma",ISNUMBER(SEARCH("Imaging:", O69)), "Texas",ISNUMBER(SEARCH("Longview:", O69)), "Texas",ISNUMBER(SEARCH("Marshall:", O69)), "Texas",ISNUMBER(SEARCH("Mar Allerg:", O69)), "Texas",ISNUMBER(SEARCH("Maumelle:", O69)), "Arkansas",ISNUMBER(SEARCH("MWC:", O69)), "Oklahoma",ISNUMBER(SEARCH("MWC Allgy:", O69)), "Oklahoma",ISNUMBER(SEARCH("Moore:", O69)), "Oklahoma",ISNUMBER(SEARCH("MooreAllgy:", O69)), "Oklahoma",ISNUMBER(SEARCH("MtPleasant:", O69)), "Texas",ISNUMBER(SEARCH("OccOffsite:", O69)), "Texas",ISNUMBER(SEARCH("Pain Mgmt:", O69)), "Texas",ISNUMBER(SEARCH("Paris:", O69)), "Texas",ISNUMBER(SEARCH("PT:", O69)), "Texas",ISNUMBER(SEARCH("RR Allergy:", O69)), "Texas",ISNUMBER(SEARCH("Sherwood:", O69)), "Arkansas",ISNUMBER(SEARCH("WV:", O69)), "Texas",ISNUMBER(SEARCH("Nur-Home:", O69)), "Texas",ISNUMBER(SEARCH("THC:", O69)), "Texas",ISNUMBER(SEARCH("WVTC:", O69)), "Texas",ISNUMBER(SEARCH("TSC:", O69)), "Texas",ISNUMBER(SEARCH("V-AR Blvd:", O69)), "Arkansas",ISNUMBER(SEARCH("V-Maumelle:", O69)), "Arkansas",ISNUMBER(SEARCH("V-Atlanta:", O69)), "Texas",ISNUMBER(SEARCH("VBlanchard:", O69)), "Louisiana",ISNUMBER(SEARCH("V-Bryant:", O69)), "Arkansas",ISNUMBER(SEARCH("V-Choctaw:", O69)), "Oklahoma",ISNUMBER(SEARCH("V-DeQueen:", O69)), "Arkansas",ISNUMBER(SEARCH("V-Longview:", O69)), "Texas",ISNUMBER(SEARCH("V-Marshall:", O69)), "Texas",ISNUMBER(SEARCH("V-MWC:", O69)), "Oklahoma",ISNUMBER(SEARCH("V-Moore:", O69)), "Oklahoma",ISNUMBER(SEARCH("V-MP:", O69)), "Texas",ISNUMBER(SEARCH("V-Edmond:", O69)), "Oklahoma",ISNUMBER(SEARCH("V-Paris:", O69)), "Texas",ISNUMBER(SEARCH("V-RR:", O69)), "Texas",ISNUMBER(SEARCH("V-Sherwood:", O69)), "Arkansas",ISNUMBER(SEARCH("V-WV:", O69)), "Texas",ISNUMBER(SEARCH("HealthCARE Express - Richmond Road", O69)), "Texas",ISNUMBER(SEARCH("HealthCARE Express - Occupational Medicine", O69)), "Texas")</f>
        <v>Arkansas</v>
      </c>
      <c r="Q69" t="s">
        <v>841</v>
      </c>
      <c r="R69" t="s">
        <v>847</v>
      </c>
      <c r="S69" t="s">
        <v>124</v>
      </c>
      <c r="T69" t="s">
        <v>848</v>
      </c>
      <c r="U69" t="s">
        <v>873</v>
      </c>
      <c r="AF69" t="str" cm="1">
        <f t="array" ref="AF69">IF(SUMPRODUCT(--ISNUMBER(SEARCH("992",T69:AE69)))&gt;0, "E&amp;M", "No E&amp;M")</f>
        <v>E&amp;M</v>
      </c>
      <c r="AG69" t="str">
        <f t="shared" si="7"/>
        <v>99214</v>
      </c>
      <c r="AH69" t="str">
        <f t="shared" si="8"/>
        <v>Estd. Patient</v>
      </c>
      <c r="AI69" t="str">
        <f t="shared" si="6"/>
        <v>Little Rock Region</v>
      </c>
    </row>
    <row r="70" spans="1:35" x14ac:dyDescent="0.3">
      <c r="A70" t="s">
        <v>464</v>
      </c>
      <c r="B70" t="s">
        <v>357</v>
      </c>
      <c r="C70" t="s">
        <v>219</v>
      </c>
      <c r="D70" t="s">
        <v>465</v>
      </c>
      <c r="E70" t="s">
        <v>466</v>
      </c>
      <c r="F70" t="s">
        <v>19</v>
      </c>
      <c r="G70" t="s">
        <v>467</v>
      </c>
      <c r="H70" t="s">
        <v>22</v>
      </c>
      <c r="I70" t="s">
        <v>22</v>
      </c>
      <c r="J70" t="s">
        <v>22</v>
      </c>
      <c r="K70" t="s">
        <v>467</v>
      </c>
      <c r="L70" t="s">
        <v>468</v>
      </c>
      <c r="M70" t="s">
        <v>223</v>
      </c>
      <c r="N70" t="s">
        <v>465</v>
      </c>
      <c r="O70" t="s">
        <v>908</v>
      </c>
      <c r="P70" t="str" cm="1">
        <f t="array" ref="P70">_xlfn.IFS(ISNUMBER(SEARCH("AEIC:", O70)), "Arkansas",ISNUMBER(SEARCH("STM:", O70)), "Texas",ISNUMBER(SEARCH("BILLING:", O70)), "Texas",ISNUMBER(SEARCH("AM:", O70)), "Texas",ISNUMBER(SEARCH("ARBlvd:", O70)), "Arkansas",ISNUMBER(SEARCH("Atlanta:", O70)), "Texas",ISNUMBER(SEARCH("Blanchard:", O70)), "Louisiana",ISNUMBER(SEARCH("Bryant:", O70)), "Arkansas",ISNUMBER(SEARCH("Choctaw:", O70)), "Oklahoma",ISNUMBER(SEARCH("Choc Allgy:", O70)), "Oklahoma",ISNUMBER(SEARCH("DeQueen:", O70)), "Arkansas",ISNUMBER(SEARCH("Edmond:", O70)), "Oklahoma",ISNUMBER(SEARCH("Edmd Aller:", O70)), "Oklahoma",ISNUMBER(SEARCH("Imaging:", O70)), "Texas",ISNUMBER(SEARCH("Longview:", O70)), "Texas",ISNUMBER(SEARCH("Marshall:", O70)), "Texas",ISNUMBER(SEARCH("Mar Allerg:", O70)), "Texas",ISNUMBER(SEARCH("Maumelle:", O70)), "Arkansas",ISNUMBER(SEARCH("MWC:", O70)), "Oklahoma",ISNUMBER(SEARCH("MWC Allgy:", O70)), "Oklahoma",ISNUMBER(SEARCH("Moore:", O70)), "Oklahoma",ISNUMBER(SEARCH("MooreAllgy:", O70)), "Oklahoma",ISNUMBER(SEARCH("MtPleasant:", O70)), "Texas",ISNUMBER(SEARCH("OccOffsite:", O70)), "Texas",ISNUMBER(SEARCH("Pain Mgmt:", O70)), "Texas",ISNUMBER(SEARCH("Paris:", O70)), "Texas",ISNUMBER(SEARCH("PT:", O70)), "Texas",ISNUMBER(SEARCH("RR Allergy:", O70)), "Texas",ISNUMBER(SEARCH("Sherwood:", O70)), "Arkansas",ISNUMBER(SEARCH("WV:", O70)), "Texas",ISNUMBER(SEARCH("Nur-Home:", O70)), "Texas",ISNUMBER(SEARCH("THC:", O70)), "Texas",ISNUMBER(SEARCH("WVTC:", O70)), "Texas",ISNUMBER(SEARCH("TSC:", O70)), "Texas",ISNUMBER(SEARCH("V-AR Blvd:", O70)), "Arkansas",ISNUMBER(SEARCH("V-Maumelle:", O70)), "Arkansas",ISNUMBER(SEARCH("V-Atlanta:", O70)), "Texas",ISNUMBER(SEARCH("VBlanchard:", O70)), "Louisiana",ISNUMBER(SEARCH("V-Bryant:", O70)), "Arkansas",ISNUMBER(SEARCH("V-Choctaw:", O70)), "Oklahoma",ISNUMBER(SEARCH("V-DeQueen:", O70)), "Arkansas",ISNUMBER(SEARCH("V-Longview:", O70)), "Texas",ISNUMBER(SEARCH("V-Marshall:", O70)), "Texas",ISNUMBER(SEARCH("V-MWC:", O70)), "Oklahoma",ISNUMBER(SEARCH("V-Moore:", O70)), "Oklahoma",ISNUMBER(SEARCH("V-MP:", O70)), "Texas",ISNUMBER(SEARCH("V-Edmond:", O70)), "Oklahoma",ISNUMBER(SEARCH("V-Paris:", O70)), "Texas",ISNUMBER(SEARCH("V-RR:", O70)), "Texas",ISNUMBER(SEARCH("V-Sherwood:", O70)), "Arkansas",ISNUMBER(SEARCH("V-WV:", O70)), "Texas",ISNUMBER(SEARCH("HealthCARE Express - Richmond Road", O70)), "Texas",ISNUMBER(SEARCH("HealthCARE Express - Occupational Medicine", O70)), "Texas")</f>
        <v>Texas</v>
      </c>
      <c r="Q70" t="s">
        <v>841</v>
      </c>
      <c r="R70" t="s">
        <v>882</v>
      </c>
      <c r="S70" t="s">
        <v>466</v>
      </c>
      <c r="T70" t="s">
        <v>848</v>
      </c>
      <c r="U70" t="s">
        <v>864</v>
      </c>
      <c r="AF70" t="str" cm="1">
        <f t="array" ref="AF70">IF(SUMPRODUCT(--ISNUMBER(SEARCH("992",T70:AE70)))&gt;0, "E&amp;M", "No E&amp;M")</f>
        <v>E&amp;M</v>
      </c>
      <c r="AG70" t="str">
        <f t="shared" si="7"/>
        <v>99214</v>
      </c>
      <c r="AH70" t="str">
        <f t="shared" si="8"/>
        <v>Estd. Patient</v>
      </c>
      <c r="AI70" t="str">
        <f t="shared" si="6"/>
        <v>Texas/La/DQ/Ark Blvd</v>
      </c>
    </row>
    <row r="71" spans="1:35" x14ac:dyDescent="0.3">
      <c r="A71" t="s">
        <v>469</v>
      </c>
      <c r="B71" t="s">
        <v>357</v>
      </c>
      <c r="C71" t="s">
        <v>109</v>
      </c>
      <c r="D71" t="s">
        <v>470</v>
      </c>
      <c r="E71" t="s">
        <v>342</v>
      </c>
      <c r="F71" t="s">
        <v>19</v>
      </c>
      <c r="G71" t="s">
        <v>97</v>
      </c>
      <c r="H71" t="s">
        <v>172</v>
      </c>
      <c r="I71" t="s">
        <v>22</v>
      </c>
      <c r="J71" t="s">
        <v>22</v>
      </c>
      <c r="K71" t="s">
        <v>471</v>
      </c>
      <c r="L71" t="s">
        <v>472</v>
      </c>
      <c r="M71" t="s">
        <v>113</v>
      </c>
      <c r="N71" t="s">
        <v>473</v>
      </c>
      <c r="O71" t="s">
        <v>878</v>
      </c>
      <c r="P71" t="str" cm="1">
        <f t="array" ref="P71">_xlfn.IFS(ISNUMBER(SEARCH("AEIC:", O71)), "Arkansas",ISNUMBER(SEARCH("STM:", O71)), "Texas",ISNUMBER(SEARCH("BILLING:", O71)), "Texas",ISNUMBER(SEARCH("AM:", O71)), "Texas",ISNUMBER(SEARCH("ARBlvd:", O71)), "Arkansas",ISNUMBER(SEARCH("Atlanta:", O71)), "Texas",ISNUMBER(SEARCH("Blanchard:", O71)), "Louisiana",ISNUMBER(SEARCH("Bryant:", O71)), "Arkansas",ISNUMBER(SEARCH("Choctaw:", O71)), "Oklahoma",ISNUMBER(SEARCH("Choc Allgy:", O71)), "Oklahoma",ISNUMBER(SEARCH("DeQueen:", O71)), "Arkansas",ISNUMBER(SEARCH("Edmond:", O71)), "Oklahoma",ISNUMBER(SEARCH("Edmd Aller:", O71)), "Oklahoma",ISNUMBER(SEARCH("Imaging:", O71)), "Texas",ISNUMBER(SEARCH("Longview:", O71)), "Texas",ISNUMBER(SEARCH("Marshall:", O71)), "Texas",ISNUMBER(SEARCH("Mar Allerg:", O71)), "Texas",ISNUMBER(SEARCH("Maumelle:", O71)), "Arkansas",ISNUMBER(SEARCH("MWC:", O71)), "Oklahoma",ISNUMBER(SEARCH("MWC Allgy:", O71)), "Oklahoma",ISNUMBER(SEARCH("Moore:", O71)), "Oklahoma",ISNUMBER(SEARCH("MooreAllgy:", O71)), "Oklahoma",ISNUMBER(SEARCH("MtPleasant:", O71)), "Texas",ISNUMBER(SEARCH("OccOffsite:", O71)), "Texas",ISNUMBER(SEARCH("Pain Mgmt:", O71)), "Texas",ISNUMBER(SEARCH("Paris:", O71)), "Texas",ISNUMBER(SEARCH("PT:", O71)), "Texas",ISNUMBER(SEARCH("RR Allergy:", O71)), "Texas",ISNUMBER(SEARCH("Sherwood:", O71)), "Arkansas",ISNUMBER(SEARCH("WV:", O71)), "Texas",ISNUMBER(SEARCH("Nur-Home:", O71)), "Texas",ISNUMBER(SEARCH("THC:", O71)), "Texas",ISNUMBER(SEARCH("WVTC:", O71)), "Texas",ISNUMBER(SEARCH("TSC:", O71)), "Texas",ISNUMBER(SEARCH("V-AR Blvd:", O71)), "Arkansas",ISNUMBER(SEARCH("V-Maumelle:", O71)), "Arkansas",ISNUMBER(SEARCH("V-Atlanta:", O71)), "Texas",ISNUMBER(SEARCH("VBlanchard:", O71)), "Louisiana",ISNUMBER(SEARCH("V-Bryant:", O71)), "Arkansas",ISNUMBER(SEARCH("V-Choctaw:", O71)), "Oklahoma",ISNUMBER(SEARCH("V-DeQueen:", O71)), "Arkansas",ISNUMBER(SEARCH("V-Longview:", O71)), "Texas",ISNUMBER(SEARCH("V-Marshall:", O71)), "Texas",ISNUMBER(SEARCH("V-MWC:", O71)), "Oklahoma",ISNUMBER(SEARCH("V-Moore:", O71)), "Oklahoma",ISNUMBER(SEARCH("V-MP:", O71)), "Texas",ISNUMBER(SEARCH("V-Edmond:", O71)), "Oklahoma",ISNUMBER(SEARCH("V-Paris:", O71)), "Texas",ISNUMBER(SEARCH("V-RR:", O71)), "Texas",ISNUMBER(SEARCH("V-Sherwood:", O71)), "Arkansas",ISNUMBER(SEARCH("V-WV:", O71)), "Texas",ISNUMBER(SEARCH("HealthCARE Express - Richmond Road", O71)), "Texas",ISNUMBER(SEARCH("HealthCARE Express - Occupational Medicine", O71)), "Texas")</f>
        <v>Arkansas</v>
      </c>
      <c r="Q71" t="s">
        <v>841</v>
      </c>
      <c r="R71" t="s">
        <v>876</v>
      </c>
      <c r="S71" t="s">
        <v>342</v>
      </c>
      <c r="T71" t="s">
        <v>848</v>
      </c>
      <c r="U71" t="s">
        <v>880</v>
      </c>
      <c r="V71" t="s">
        <v>873</v>
      </c>
      <c r="AF71" t="str" cm="1">
        <f t="array" ref="AF71">IF(SUMPRODUCT(--ISNUMBER(SEARCH("992",T71:AE71)))&gt;0, "E&amp;M", "No E&amp;M")</f>
        <v>E&amp;M</v>
      </c>
      <c r="AG71" t="str">
        <f t="shared" si="7"/>
        <v>99214</v>
      </c>
      <c r="AH71" t="str">
        <f t="shared" si="8"/>
        <v>Estd. Patient</v>
      </c>
      <c r="AI71" t="str">
        <f t="shared" si="6"/>
        <v>Little Rock Region</v>
      </c>
    </row>
    <row r="72" spans="1:35" x14ac:dyDescent="0.3">
      <c r="A72" t="s">
        <v>474</v>
      </c>
      <c r="B72" t="s">
        <v>357</v>
      </c>
      <c r="C72" t="s">
        <v>386</v>
      </c>
      <c r="D72" t="s">
        <v>475</v>
      </c>
      <c r="E72" t="s">
        <v>375</v>
      </c>
      <c r="F72" t="s">
        <v>19</v>
      </c>
      <c r="G72" t="s">
        <v>476</v>
      </c>
      <c r="H72" t="s">
        <v>22</v>
      </c>
      <c r="I72" t="s">
        <v>22</v>
      </c>
      <c r="J72" t="s">
        <v>22</v>
      </c>
      <c r="K72" t="s">
        <v>476</v>
      </c>
      <c r="L72" t="s">
        <v>477</v>
      </c>
      <c r="M72" t="s">
        <v>392</v>
      </c>
      <c r="N72" t="s">
        <v>478</v>
      </c>
      <c r="O72" t="s">
        <v>874</v>
      </c>
      <c r="P72" t="str" cm="1">
        <f t="array" ref="P72">_xlfn.IFS(ISNUMBER(SEARCH("AEIC:", O72)), "Arkansas",ISNUMBER(SEARCH("STM:", O72)), "Texas",ISNUMBER(SEARCH("BILLING:", O72)), "Texas",ISNUMBER(SEARCH("AM:", O72)), "Texas",ISNUMBER(SEARCH("ARBlvd:", O72)), "Arkansas",ISNUMBER(SEARCH("Atlanta:", O72)), "Texas",ISNUMBER(SEARCH("Blanchard:", O72)), "Louisiana",ISNUMBER(SEARCH("Bryant:", O72)), "Arkansas",ISNUMBER(SEARCH("Choctaw:", O72)), "Oklahoma",ISNUMBER(SEARCH("Choc Allgy:", O72)), "Oklahoma",ISNUMBER(SEARCH("DeQueen:", O72)), "Arkansas",ISNUMBER(SEARCH("Edmond:", O72)), "Oklahoma",ISNUMBER(SEARCH("Edmd Aller:", O72)), "Oklahoma",ISNUMBER(SEARCH("Imaging:", O72)), "Texas",ISNUMBER(SEARCH("Longview:", O72)), "Texas",ISNUMBER(SEARCH("Marshall:", O72)), "Texas",ISNUMBER(SEARCH("Mar Allerg:", O72)), "Texas",ISNUMBER(SEARCH("Maumelle:", O72)), "Arkansas",ISNUMBER(SEARCH("MWC:", O72)), "Oklahoma",ISNUMBER(SEARCH("MWC Allgy:", O72)), "Oklahoma",ISNUMBER(SEARCH("Moore:", O72)), "Oklahoma",ISNUMBER(SEARCH("MooreAllgy:", O72)), "Oklahoma",ISNUMBER(SEARCH("MtPleasant:", O72)), "Texas",ISNUMBER(SEARCH("OccOffsite:", O72)), "Texas",ISNUMBER(SEARCH("Pain Mgmt:", O72)), "Texas",ISNUMBER(SEARCH("Paris:", O72)), "Texas",ISNUMBER(SEARCH("PT:", O72)), "Texas",ISNUMBER(SEARCH("RR Allergy:", O72)), "Texas",ISNUMBER(SEARCH("Sherwood:", O72)), "Arkansas",ISNUMBER(SEARCH("WV:", O72)), "Texas",ISNUMBER(SEARCH("Nur-Home:", O72)), "Texas",ISNUMBER(SEARCH("THC:", O72)), "Texas",ISNUMBER(SEARCH("WVTC:", O72)), "Texas",ISNUMBER(SEARCH("TSC:", O72)), "Texas",ISNUMBER(SEARCH("V-AR Blvd:", O72)), "Arkansas",ISNUMBER(SEARCH("V-Maumelle:", O72)), "Arkansas",ISNUMBER(SEARCH("V-Atlanta:", O72)), "Texas",ISNUMBER(SEARCH("VBlanchard:", O72)), "Louisiana",ISNUMBER(SEARCH("V-Bryant:", O72)), "Arkansas",ISNUMBER(SEARCH("V-Choctaw:", O72)), "Oklahoma",ISNUMBER(SEARCH("V-DeQueen:", O72)), "Arkansas",ISNUMBER(SEARCH("V-Longview:", O72)), "Texas",ISNUMBER(SEARCH("V-Marshall:", O72)), "Texas",ISNUMBER(SEARCH("V-MWC:", O72)), "Oklahoma",ISNUMBER(SEARCH("V-Moore:", O72)), "Oklahoma",ISNUMBER(SEARCH("V-MP:", O72)), "Texas",ISNUMBER(SEARCH("V-Edmond:", O72)), "Oklahoma",ISNUMBER(SEARCH("V-Paris:", O72)), "Texas",ISNUMBER(SEARCH("V-RR:", O72)), "Texas",ISNUMBER(SEARCH("V-Sherwood:", O72)), "Arkansas",ISNUMBER(SEARCH("V-WV:", O72)), "Texas",ISNUMBER(SEARCH("HealthCARE Express - Richmond Road", O72)), "Texas",ISNUMBER(SEARCH("HealthCARE Express - Occupational Medicine", O72)), "Texas")</f>
        <v>Arkansas</v>
      </c>
      <c r="Q72" t="s">
        <v>841</v>
      </c>
      <c r="R72" t="s">
        <v>872</v>
      </c>
      <c r="S72" t="s">
        <v>375</v>
      </c>
      <c r="T72" t="s">
        <v>842</v>
      </c>
      <c r="U72" t="s">
        <v>864</v>
      </c>
      <c r="AF72" t="str" cm="1">
        <f t="array" ref="AF72">IF(SUMPRODUCT(--ISNUMBER(SEARCH("992",T72:AE72)))&gt;0, "E&amp;M", "No E&amp;M")</f>
        <v>E&amp;M</v>
      </c>
      <c r="AG72" t="str">
        <f t="shared" si="7"/>
        <v>99213</v>
      </c>
      <c r="AH72" t="str">
        <f t="shared" si="8"/>
        <v>Estd. Patient</v>
      </c>
      <c r="AI72" t="str">
        <f t="shared" si="6"/>
        <v>Little Rock Region</v>
      </c>
    </row>
    <row r="73" spans="1:35" x14ac:dyDescent="0.3">
      <c r="A73" t="s">
        <v>479</v>
      </c>
      <c r="B73" t="s">
        <v>357</v>
      </c>
      <c r="C73" t="s">
        <v>240</v>
      </c>
      <c r="D73" t="s">
        <v>480</v>
      </c>
      <c r="E73" t="s">
        <v>481</v>
      </c>
      <c r="F73" t="s">
        <v>19</v>
      </c>
      <c r="G73" t="s">
        <v>87</v>
      </c>
      <c r="H73" t="s">
        <v>482</v>
      </c>
      <c r="I73" t="s">
        <v>22</v>
      </c>
      <c r="J73" t="s">
        <v>22</v>
      </c>
      <c r="K73" t="s">
        <v>483</v>
      </c>
      <c r="L73" t="s">
        <v>484</v>
      </c>
      <c r="M73" t="s">
        <v>244</v>
      </c>
      <c r="N73" t="s">
        <v>485</v>
      </c>
      <c r="O73" t="s">
        <v>890</v>
      </c>
      <c r="P73" t="str" cm="1">
        <f t="array" ref="P73">_xlfn.IFS(ISNUMBER(SEARCH("AEIC:", O73)), "Arkansas",ISNUMBER(SEARCH("STM:", O73)), "Texas",ISNUMBER(SEARCH("BILLING:", O73)), "Texas",ISNUMBER(SEARCH("AM:", O73)), "Texas",ISNUMBER(SEARCH("ARBlvd:", O73)), "Arkansas",ISNUMBER(SEARCH("Atlanta:", O73)), "Texas",ISNUMBER(SEARCH("Blanchard:", O73)), "Louisiana",ISNUMBER(SEARCH("Bryant:", O73)), "Arkansas",ISNUMBER(SEARCH("Choctaw:", O73)), "Oklahoma",ISNUMBER(SEARCH("Choc Allgy:", O73)), "Oklahoma",ISNUMBER(SEARCH("DeQueen:", O73)), "Arkansas",ISNUMBER(SEARCH("Edmond:", O73)), "Oklahoma",ISNUMBER(SEARCH("Edmd Aller:", O73)), "Oklahoma",ISNUMBER(SEARCH("Imaging:", O73)), "Texas",ISNUMBER(SEARCH("Longview:", O73)), "Texas",ISNUMBER(SEARCH("Marshall:", O73)), "Texas",ISNUMBER(SEARCH("Mar Allerg:", O73)), "Texas",ISNUMBER(SEARCH("Maumelle:", O73)), "Arkansas",ISNUMBER(SEARCH("MWC:", O73)), "Oklahoma",ISNUMBER(SEARCH("MWC Allgy:", O73)), "Oklahoma",ISNUMBER(SEARCH("Moore:", O73)), "Oklahoma",ISNUMBER(SEARCH("MooreAllgy:", O73)), "Oklahoma",ISNUMBER(SEARCH("MtPleasant:", O73)), "Texas",ISNUMBER(SEARCH("OccOffsite:", O73)), "Texas",ISNUMBER(SEARCH("Pain Mgmt:", O73)), "Texas",ISNUMBER(SEARCH("Paris:", O73)), "Texas",ISNUMBER(SEARCH("PT:", O73)), "Texas",ISNUMBER(SEARCH("RR Allergy:", O73)), "Texas",ISNUMBER(SEARCH("Sherwood:", O73)), "Arkansas",ISNUMBER(SEARCH("WV:", O73)), "Texas",ISNUMBER(SEARCH("Nur-Home:", O73)), "Texas",ISNUMBER(SEARCH("THC:", O73)), "Texas",ISNUMBER(SEARCH("WVTC:", O73)), "Texas",ISNUMBER(SEARCH("TSC:", O73)), "Texas",ISNUMBER(SEARCH("V-AR Blvd:", O73)), "Arkansas",ISNUMBER(SEARCH("V-Maumelle:", O73)), "Arkansas",ISNUMBER(SEARCH("V-Atlanta:", O73)), "Texas",ISNUMBER(SEARCH("VBlanchard:", O73)), "Louisiana",ISNUMBER(SEARCH("V-Bryant:", O73)), "Arkansas",ISNUMBER(SEARCH("V-Choctaw:", O73)), "Oklahoma",ISNUMBER(SEARCH("V-DeQueen:", O73)), "Arkansas",ISNUMBER(SEARCH("V-Longview:", O73)), "Texas",ISNUMBER(SEARCH("V-Marshall:", O73)), "Texas",ISNUMBER(SEARCH("V-MWC:", O73)), "Oklahoma",ISNUMBER(SEARCH("V-Moore:", O73)), "Oklahoma",ISNUMBER(SEARCH("V-MP:", O73)), "Texas",ISNUMBER(SEARCH("V-Edmond:", O73)), "Oklahoma",ISNUMBER(SEARCH("V-Paris:", O73)), "Texas",ISNUMBER(SEARCH("V-RR:", O73)), "Texas",ISNUMBER(SEARCH("V-Sherwood:", O73)), "Arkansas",ISNUMBER(SEARCH("V-WV:", O73)), "Texas",ISNUMBER(SEARCH("HealthCARE Express - Richmond Road", O73)), "Texas",ISNUMBER(SEARCH("HealthCARE Express - Occupational Medicine", O73)), "Texas")</f>
        <v>Arkansas</v>
      </c>
      <c r="Q73" t="s">
        <v>869</v>
      </c>
      <c r="R73" t="s">
        <v>840</v>
      </c>
      <c r="S73" t="s">
        <v>481</v>
      </c>
      <c r="T73" t="s">
        <v>848</v>
      </c>
      <c r="U73" t="s">
        <v>843</v>
      </c>
      <c r="V73" t="s">
        <v>844</v>
      </c>
      <c r="W73" t="s">
        <v>864</v>
      </c>
      <c r="X73" t="s">
        <v>918</v>
      </c>
      <c r="AF73" t="str" cm="1">
        <f t="array" ref="AF73">IF(SUMPRODUCT(--ISNUMBER(SEARCH("992",T73:AE73)))&gt;0, "E&amp;M", "No E&amp;M")</f>
        <v>E&amp;M</v>
      </c>
      <c r="AG73" t="str">
        <f t="shared" si="7"/>
        <v>99214</v>
      </c>
      <c r="AH73" t="str">
        <f t="shared" si="8"/>
        <v>Estd. Patient</v>
      </c>
      <c r="AI73" t="str">
        <f t="shared" si="6"/>
        <v>-</v>
      </c>
    </row>
    <row r="74" spans="1:35" x14ac:dyDescent="0.3">
      <c r="A74" t="s">
        <v>486</v>
      </c>
      <c r="B74" t="s">
        <v>357</v>
      </c>
      <c r="C74" t="s">
        <v>358</v>
      </c>
      <c r="D74" t="s">
        <v>487</v>
      </c>
      <c r="E74" t="s">
        <v>96</v>
      </c>
      <c r="F74" t="s">
        <v>19</v>
      </c>
      <c r="G74" t="s">
        <v>440</v>
      </c>
      <c r="H74" t="s">
        <v>98</v>
      </c>
      <c r="I74" t="s">
        <v>22</v>
      </c>
      <c r="J74" t="s">
        <v>22</v>
      </c>
      <c r="K74" t="s">
        <v>488</v>
      </c>
      <c r="L74" t="s">
        <v>489</v>
      </c>
      <c r="M74" t="s">
        <v>363</v>
      </c>
      <c r="N74" t="s">
        <v>487</v>
      </c>
      <c r="O74" t="s">
        <v>883</v>
      </c>
      <c r="P74" t="str" cm="1">
        <f t="array" ref="P74">_xlfn.IFS(ISNUMBER(SEARCH("AEIC:", O74)), "Arkansas",ISNUMBER(SEARCH("STM:", O74)), "Texas",ISNUMBER(SEARCH("BILLING:", O74)), "Texas",ISNUMBER(SEARCH("AM:", O74)), "Texas",ISNUMBER(SEARCH("ARBlvd:", O74)), "Arkansas",ISNUMBER(SEARCH("Atlanta:", O74)), "Texas",ISNUMBER(SEARCH("Blanchard:", O74)), "Louisiana",ISNUMBER(SEARCH("Bryant:", O74)), "Arkansas",ISNUMBER(SEARCH("Choctaw:", O74)), "Oklahoma",ISNUMBER(SEARCH("Choc Allgy:", O74)), "Oklahoma",ISNUMBER(SEARCH("DeQueen:", O74)), "Arkansas",ISNUMBER(SEARCH("Edmond:", O74)), "Oklahoma",ISNUMBER(SEARCH("Edmd Aller:", O74)), "Oklahoma",ISNUMBER(SEARCH("Imaging:", O74)), "Texas",ISNUMBER(SEARCH("Longview:", O74)), "Texas",ISNUMBER(SEARCH("Marshall:", O74)), "Texas",ISNUMBER(SEARCH("Mar Allerg:", O74)), "Texas",ISNUMBER(SEARCH("Maumelle:", O74)), "Arkansas",ISNUMBER(SEARCH("MWC:", O74)), "Oklahoma",ISNUMBER(SEARCH("MWC Allgy:", O74)), "Oklahoma",ISNUMBER(SEARCH("Moore:", O74)), "Oklahoma",ISNUMBER(SEARCH("MooreAllgy:", O74)), "Oklahoma",ISNUMBER(SEARCH("MtPleasant:", O74)), "Texas",ISNUMBER(SEARCH("OccOffsite:", O74)), "Texas",ISNUMBER(SEARCH("Pain Mgmt:", O74)), "Texas",ISNUMBER(SEARCH("Paris:", O74)), "Texas",ISNUMBER(SEARCH("PT:", O74)), "Texas",ISNUMBER(SEARCH("RR Allergy:", O74)), "Texas",ISNUMBER(SEARCH("Sherwood:", O74)), "Arkansas",ISNUMBER(SEARCH("WV:", O74)), "Texas",ISNUMBER(SEARCH("Nur-Home:", O74)), "Texas",ISNUMBER(SEARCH("THC:", O74)), "Texas",ISNUMBER(SEARCH("WVTC:", O74)), "Texas",ISNUMBER(SEARCH("TSC:", O74)), "Texas",ISNUMBER(SEARCH("V-AR Blvd:", O74)), "Arkansas",ISNUMBER(SEARCH("V-Maumelle:", O74)), "Arkansas",ISNUMBER(SEARCH("V-Atlanta:", O74)), "Texas",ISNUMBER(SEARCH("VBlanchard:", O74)), "Louisiana",ISNUMBER(SEARCH("V-Bryant:", O74)), "Arkansas",ISNUMBER(SEARCH("V-Choctaw:", O74)), "Oklahoma",ISNUMBER(SEARCH("V-DeQueen:", O74)), "Arkansas",ISNUMBER(SEARCH("V-Longview:", O74)), "Texas",ISNUMBER(SEARCH("V-Marshall:", O74)), "Texas",ISNUMBER(SEARCH("V-MWC:", O74)), "Oklahoma",ISNUMBER(SEARCH("V-Moore:", O74)), "Oklahoma",ISNUMBER(SEARCH("V-MP:", O74)), "Texas",ISNUMBER(SEARCH("V-Edmond:", O74)), "Oklahoma",ISNUMBER(SEARCH("V-Paris:", O74)), "Texas",ISNUMBER(SEARCH("V-RR:", O74)), "Texas",ISNUMBER(SEARCH("V-Sherwood:", O74)), "Arkansas",ISNUMBER(SEARCH("V-WV:", O74)), "Texas",ISNUMBER(SEARCH("HealthCARE Express - Richmond Road", O74)), "Texas",ISNUMBER(SEARCH("HealthCARE Express - Occupational Medicine", O74)), "Texas")</f>
        <v>Arkansas</v>
      </c>
      <c r="Q74" t="s">
        <v>841</v>
      </c>
      <c r="R74" t="s">
        <v>879</v>
      </c>
      <c r="S74" t="s">
        <v>96</v>
      </c>
      <c r="T74" t="s">
        <v>848</v>
      </c>
      <c r="AF74" t="str" cm="1">
        <f t="array" ref="AF74">IF(SUMPRODUCT(--ISNUMBER(SEARCH("992",T74:AE74)))&gt;0, "E&amp;M", "No E&amp;M")</f>
        <v>E&amp;M</v>
      </c>
      <c r="AG74" t="str">
        <f t="shared" si="7"/>
        <v>99214</v>
      </c>
      <c r="AH74" t="str">
        <f t="shared" si="8"/>
        <v>Estd. Patient</v>
      </c>
      <c r="AI74" t="str">
        <f t="shared" si="6"/>
        <v>Little Rock Region</v>
      </c>
    </row>
    <row r="75" spans="1:35" x14ac:dyDescent="0.3">
      <c r="A75" t="s">
        <v>490</v>
      </c>
      <c r="B75" t="s">
        <v>357</v>
      </c>
      <c r="C75" t="s">
        <v>154</v>
      </c>
      <c r="D75" t="s">
        <v>491</v>
      </c>
      <c r="E75" t="s">
        <v>492</v>
      </c>
      <c r="F75" t="s">
        <v>19</v>
      </c>
      <c r="G75" t="s">
        <v>106</v>
      </c>
      <c r="H75" t="s">
        <v>22</v>
      </c>
      <c r="I75" t="s">
        <v>22</v>
      </c>
      <c r="J75" t="s">
        <v>22</v>
      </c>
      <c r="K75" t="s">
        <v>106</v>
      </c>
      <c r="L75" t="s">
        <v>493</v>
      </c>
      <c r="M75" t="s">
        <v>158</v>
      </c>
      <c r="N75" t="s">
        <v>494</v>
      </c>
      <c r="O75" t="s">
        <v>891</v>
      </c>
      <c r="P75" t="str" cm="1">
        <f t="array" ref="P75">_xlfn.IFS(ISNUMBER(SEARCH("AEIC:", O75)), "Arkansas",ISNUMBER(SEARCH("STM:", O75)), "Texas",ISNUMBER(SEARCH("BILLING:", O75)), "Texas",ISNUMBER(SEARCH("AM:", O75)), "Texas",ISNUMBER(SEARCH("ARBlvd:", O75)), "Arkansas",ISNUMBER(SEARCH("Atlanta:", O75)), "Texas",ISNUMBER(SEARCH("Blanchard:", O75)), "Louisiana",ISNUMBER(SEARCH("Bryant:", O75)), "Arkansas",ISNUMBER(SEARCH("Choctaw:", O75)), "Oklahoma",ISNUMBER(SEARCH("Choc Allgy:", O75)), "Oklahoma",ISNUMBER(SEARCH("DeQueen:", O75)), "Arkansas",ISNUMBER(SEARCH("Edmond:", O75)), "Oklahoma",ISNUMBER(SEARCH("Edmd Aller:", O75)), "Oklahoma",ISNUMBER(SEARCH("Imaging:", O75)), "Texas",ISNUMBER(SEARCH("Longview:", O75)), "Texas",ISNUMBER(SEARCH("Marshall:", O75)), "Texas",ISNUMBER(SEARCH("Mar Allerg:", O75)), "Texas",ISNUMBER(SEARCH("Maumelle:", O75)), "Arkansas",ISNUMBER(SEARCH("MWC:", O75)), "Oklahoma",ISNUMBER(SEARCH("MWC Allgy:", O75)), "Oklahoma",ISNUMBER(SEARCH("Moore:", O75)), "Oklahoma",ISNUMBER(SEARCH("MooreAllgy:", O75)), "Oklahoma",ISNUMBER(SEARCH("MtPleasant:", O75)), "Texas",ISNUMBER(SEARCH("OccOffsite:", O75)), "Texas",ISNUMBER(SEARCH("Pain Mgmt:", O75)), "Texas",ISNUMBER(SEARCH("Paris:", O75)), "Texas",ISNUMBER(SEARCH("PT:", O75)), "Texas",ISNUMBER(SEARCH("RR Allergy:", O75)), "Texas",ISNUMBER(SEARCH("Sherwood:", O75)), "Arkansas",ISNUMBER(SEARCH("WV:", O75)), "Texas",ISNUMBER(SEARCH("Nur-Home:", O75)), "Texas",ISNUMBER(SEARCH("THC:", O75)), "Texas",ISNUMBER(SEARCH("WVTC:", O75)), "Texas",ISNUMBER(SEARCH("TSC:", O75)), "Texas",ISNUMBER(SEARCH("V-AR Blvd:", O75)), "Arkansas",ISNUMBER(SEARCH("V-Maumelle:", O75)), "Arkansas",ISNUMBER(SEARCH("V-Atlanta:", O75)), "Texas",ISNUMBER(SEARCH("VBlanchard:", O75)), "Louisiana",ISNUMBER(SEARCH("V-Bryant:", O75)), "Arkansas",ISNUMBER(SEARCH("V-Choctaw:", O75)), "Oklahoma",ISNUMBER(SEARCH("V-DeQueen:", O75)), "Arkansas",ISNUMBER(SEARCH("V-Longview:", O75)), "Texas",ISNUMBER(SEARCH("V-Marshall:", O75)), "Texas",ISNUMBER(SEARCH("V-MWC:", O75)), "Oklahoma",ISNUMBER(SEARCH("V-Moore:", O75)), "Oklahoma",ISNUMBER(SEARCH("V-MP:", O75)), "Texas",ISNUMBER(SEARCH("V-Edmond:", O75)), "Oklahoma",ISNUMBER(SEARCH("V-Paris:", O75)), "Texas",ISNUMBER(SEARCH("V-RR:", O75)), "Texas",ISNUMBER(SEARCH("V-Sherwood:", O75)), "Arkansas",ISNUMBER(SEARCH("V-WV:", O75)), "Texas",ISNUMBER(SEARCH("HealthCARE Express - Richmond Road", O75)), "Texas",ISNUMBER(SEARCH("HealthCARE Express - Occupational Medicine", O75)), "Texas")</f>
        <v>Texas</v>
      </c>
      <c r="Q75" t="s">
        <v>841</v>
      </c>
      <c r="R75" t="s">
        <v>892</v>
      </c>
      <c r="S75" t="s">
        <v>492</v>
      </c>
      <c r="T75" t="s">
        <v>842</v>
      </c>
      <c r="U75" t="s">
        <v>894</v>
      </c>
      <c r="V75" t="s">
        <v>895</v>
      </c>
      <c r="AF75" t="str" cm="1">
        <f t="array" ref="AF75">IF(SUMPRODUCT(--ISNUMBER(SEARCH("992",T75:AE75)))&gt;0, "E&amp;M", "No E&amp;M")</f>
        <v>E&amp;M</v>
      </c>
      <c r="AG75" t="str">
        <f t="shared" si="7"/>
        <v>99213</v>
      </c>
      <c r="AH75" t="str">
        <f t="shared" si="8"/>
        <v>Estd. Patient</v>
      </c>
      <c r="AI75" t="str">
        <f t="shared" si="6"/>
        <v>Workers Comp</v>
      </c>
    </row>
    <row r="76" spans="1:35" x14ac:dyDescent="0.3">
      <c r="A76" t="s">
        <v>495</v>
      </c>
      <c r="B76" t="s">
        <v>357</v>
      </c>
      <c r="C76" t="s">
        <v>16</v>
      </c>
      <c r="D76" t="s">
        <v>496</v>
      </c>
      <c r="E76" t="s">
        <v>497</v>
      </c>
      <c r="F76" t="s">
        <v>19</v>
      </c>
      <c r="G76" t="s">
        <v>498</v>
      </c>
      <c r="H76" t="s">
        <v>22</v>
      </c>
      <c r="I76" t="s">
        <v>22</v>
      </c>
      <c r="J76" t="s">
        <v>22</v>
      </c>
      <c r="K76" t="s">
        <v>498</v>
      </c>
      <c r="L76" t="s">
        <v>499</v>
      </c>
      <c r="M76" t="s">
        <v>25</v>
      </c>
      <c r="N76" t="s">
        <v>500</v>
      </c>
      <c r="O76" t="s">
        <v>839</v>
      </c>
      <c r="P76" t="str" cm="1">
        <f t="array" ref="P76">_xlfn.IFS(ISNUMBER(SEARCH("AEIC:", O76)), "Arkansas",ISNUMBER(SEARCH("STM:", O76)), "Texas",ISNUMBER(SEARCH("BILLING:", O76)), "Texas",ISNUMBER(SEARCH("AM:", O76)), "Texas",ISNUMBER(SEARCH("ARBlvd:", O76)), "Arkansas",ISNUMBER(SEARCH("Atlanta:", O76)), "Texas",ISNUMBER(SEARCH("Blanchard:", O76)), "Louisiana",ISNUMBER(SEARCH("Bryant:", O76)), "Arkansas",ISNUMBER(SEARCH("Choctaw:", O76)), "Oklahoma",ISNUMBER(SEARCH("Choc Allgy:", O76)), "Oklahoma",ISNUMBER(SEARCH("DeQueen:", O76)), "Arkansas",ISNUMBER(SEARCH("Edmond:", O76)), "Oklahoma",ISNUMBER(SEARCH("Edmd Aller:", O76)), "Oklahoma",ISNUMBER(SEARCH("Imaging:", O76)), "Texas",ISNUMBER(SEARCH("Longview:", O76)), "Texas",ISNUMBER(SEARCH("Marshall:", O76)), "Texas",ISNUMBER(SEARCH("Mar Allerg:", O76)), "Texas",ISNUMBER(SEARCH("Maumelle:", O76)), "Arkansas",ISNUMBER(SEARCH("MWC:", O76)), "Oklahoma",ISNUMBER(SEARCH("MWC Allgy:", O76)), "Oklahoma",ISNUMBER(SEARCH("Moore:", O76)), "Oklahoma",ISNUMBER(SEARCH("MooreAllgy:", O76)), "Oklahoma",ISNUMBER(SEARCH("MtPleasant:", O76)), "Texas",ISNUMBER(SEARCH("OccOffsite:", O76)), "Texas",ISNUMBER(SEARCH("Pain Mgmt:", O76)), "Texas",ISNUMBER(SEARCH("Paris:", O76)), "Texas",ISNUMBER(SEARCH("PT:", O76)), "Texas",ISNUMBER(SEARCH("RR Allergy:", O76)), "Texas",ISNUMBER(SEARCH("Sherwood:", O76)), "Arkansas",ISNUMBER(SEARCH("WV:", O76)), "Texas",ISNUMBER(SEARCH("Nur-Home:", O76)), "Texas",ISNUMBER(SEARCH("THC:", O76)), "Texas",ISNUMBER(SEARCH("WVTC:", O76)), "Texas",ISNUMBER(SEARCH("TSC:", O76)), "Texas",ISNUMBER(SEARCH("V-AR Blvd:", O76)), "Arkansas",ISNUMBER(SEARCH("V-Maumelle:", O76)), "Arkansas",ISNUMBER(SEARCH("V-Atlanta:", O76)), "Texas",ISNUMBER(SEARCH("VBlanchard:", O76)), "Louisiana",ISNUMBER(SEARCH("V-Bryant:", O76)), "Arkansas",ISNUMBER(SEARCH("V-Choctaw:", O76)), "Oklahoma",ISNUMBER(SEARCH("V-DeQueen:", O76)), "Arkansas",ISNUMBER(SEARCH("V-Longview:", O76)), "Texas",ISNUMBER(SEARCH("V-Marshall:", O76)), "Texas",ISNUMBER(SEARCH("V-MWC:", O76)), "Oklahoma",ISNUMBER(SEARCH("V-Moore:", O76)), "Oklahoma",ISNUMBER(SEARCH("V-MP:", O76)), "Texas",ISNUMBER(SEARCH("V-Edmond:", O76)), "Oklahoma",ISNUMBER(SEARCH("V-Paris:", O76)), "Texas",ISNUMBER(SEARCH("V-RR:", O76)), "Texas",ISNUMBER(SEARCH("V-Sherwood:", O76)), "Arkansas",ISNUMBER(SEARCH("V-WV:", O76)), "Texas",ISNUMBER(SEARCH("HealthCARE Express - Richmond Road", O76)), "Texas",ISNUMBER(SEARCH("HealthCARE Express - Occupational Medicine", O76)), "Texas")</f>
        <v>Louisiana</v>
      </c>
      <c r="Q76" t="s">
        <v>841</v>
      </c>
      <c r="R76" t="s">
        <v>927</v>
      </c>
      <c r="S76" t="s">
        <v>497</v>
      </c>
      <c r="T76" t="s">
        <v>848</v>
      </c>
      <c r="U76" t="s">
        <v>887</v>
      </c>
      <c r="V76" t="s">
        <v>888</v>
      </c>
      <c r="W76" t="s">
        <v>888</v>
      </c>
      <c r="X76" t="s">
        <v>844</v>
      </c>
      <c r="Y76" t="s">
        <v>864</v>
      </c>
      <c r="Z76" t="s">
        <v>845</v>
      </c>
      <c r="AF76" t="str" cm="1">
        <f t="array" ref="AF76">IF(SUMPRODUCT(--ISNUMBER(SEARCH("992",T76:AE76)))&gt;0, "E&amp;M", "No E&amp;M")</f>
        <v>E&amp;M</v>
      </c>
      <c r="AG76" t="str">
        <f t="shared" si="7"/>
        <v>99214</v>
      </c>
      <c r="AH76" t="str">
        <f t="shared" si="8"/>
        <v>Estd. Patient</v>
      </c>
      <c r="AI76" t="str">
        <f t="shared" si="6"/>
        <v>Texas/La/DQ/Ark Blvd</v>
      </c>
    </row>
    <row r="77" spans="1:35" x14ac:dyDescent="0.3">
      <c r="A77" t="s">
        <v>501</v>
      </c>
      <c r="B77" t="s">
        <v>357</v>
      </c>
      <c r="C77" t="s">
        <v>358</v>
      </c>
      <c r="D77" t="s">
        <v>502</v>
      </c>
      <c r="E77" t="s">
        <v>281</v>
      </c>
      <c r="F77" t="s">
        <v>19</v>
      </c>
      <c r="G77" t="s">
        <v>440</v>
      </c>
      <c r="H77" t="s">
        <v>79</v>
      </c>
      <c r="I77" t="s">
        <v>22</v>
      </c>
      <c r="J77" t="s">
        <v>22</v>
      </c>
      <c r="K77" t="s">
        <v>441</v>
      </c>
      <c r="L77" t="s">
        <v>503</v>
      </c>
      <c r="M77" t="s">
        <v>363</v>
      </c>
      <c r="N77" t="s">
        <v>504</v>
      </c>
      <c r="O77" t="s">
        <v>883</v>
      </c>
      <c r="P77" t="str" cm="1">
        <f t="array" ref="P77">_xlfn.IFS(ISNUMBER(SEARCH("AEIC:", O77)), "Arkansas",ISNUMBER(SEARCH("STM:", O77)), "Texas",ISNUMBER(SEARCH("BILLING:", O77)), "Texas",ISNUMBER(SEARCH("AM:", O77)), "Texas",ISNUMBER(SEARCH("ARBlvd:", O77)), "Arkansas",ISNUMBER(SEARCH("Atlanta:", O77)), "Texas",ISNUMBER(SEARCH("Blanchard:", O77)), "Louisiana",ISNUMBER(SEARCH("Bryant:", O77)), "Arkansas",ISNUMBER(SEARCH("Choctaw:", O77)), "Oklahoma",ISNUMBER(SEARCH("Choc Allgy:", O77)), "Oklahoma",ISNUMBER(SEARCH("DeQueen:", O77)), "Arkansas",ISNUMBER(SEARCH("Edmond:", O77)), "Oklahoma",ISNUMBER(SEARCH("Edmd Aller:", O77)), "Oklahoma",ISNUMBER(SEARCH("Imaging:", O77)), "Texas",ISNUMBER(SEARCH("Longview:", O77)), "Texas",ISNUMBER(SEARCH("Marshall:", O77)), "Texas",ISNUMBER(SEARCH("Mar Allerg:", O77)), "Texas",ISNUMBER(SEARCH("Maumelle:", O77)), "Arkansas",ISNUMBER(SEARCH("MWC:", O77)), "Oklahoma",ISNUMBER(SEARCH("MWC Allgy:", O77)), "Oklahoma",ISNUMBER(SEARCH("Moore:", O77)), "Oklahoma",ISNUMBER(SEARCH("MooreAllgy:", O77)), "Oklahoma",ISNUMBER(SEARCH("MtPleasant:", O77)), "Texas",ISNUMBER(SEARCH("OccOffsite:", O77)), "Texas",ISNUMBER(SEARCH("Pain Mgmt:", O77)), "Texas",ISNUMBER(SEARCH("Paris:", O77)), "Texas",ISNUMBER(SEARCH("PT:", O77)), "Texas",ISNUMBER(SEARCH("RR Allergy:", O77)), "Texas",ISNUMBER(SEARCH("Sherwood:", O77)), "Arkansas",ISNUMBER(SEARCH("WV:", O77)), "Texas",ISNUMBER(SEARCH("Nur-Home:", O77)), "Texas",ISNUMBER(SEARCH("THC:", O77)), "Texas",ISNUMBER(SEARCH("WVTC:", O77)), "Texas",ISNUMBER(SEARCH("TSC:", O77)), "Texas",ISNUMBER(SEARCH("V-AR Blvd:", O77)), "Arkansas",ISNUMBER(SEARCH("V-Maumelle:", O77)), "Arkansas",ISNUMBER(SEARCH("V-Atlanta:", O77)), "Texas",ISNUMBER(SEARCH("VBlanchard:", O77)), "Louisiana",ISNUMBER(SEARCH("V-Bryant:", O77)), "Arkansas",ISNUMBER(SEARCH("V-Choctaw:", O77)), "Oklahoma",ISNUMBER(SEARCH("V-DeQueen:", O77)), "Arkansas",ISNUMBER(SEARCH("V-Longview:", O77)), "Texas",ISNUMBER(SEARCH("V-Marshall:", O77)), "Texas",ISNUMBER(SEARCH("V-MWC:", O77)), "Oklahoma",ISNUMBER(SEARCH("V-Moore:", O77)), "Oklahoma",ISNUMBER(SEARCH("V-MP:", O77)), "Texas",ISNUMBER(SEARCH("V-Edmond:", O77)), "Oklahoma",ISNUMBER(SEARCH("V-Paris:", O77)), "Texas",ISNUMBER(SEARCH("V-RR:", O77)), "Texas",ISNUMBER(SEARCH("V-Sherwood:", O77)), "Arkansas",ISNUMBER(SEARCH("V-WV:", O77)), "Texas",ISNUMBER(SEARCH("HealthCARE Express - Richmond Road", O77)), "Texas",ISNUMBER(SEARCH("HealthCARE Express - Occupational Medicine", O77)), "Texas")</f>
        <v>Arkansas</v>
      </c>
      <c r="Q77" t="s">
        <v>841</v>
      </c>
      <c r="R77" t="s">
        <v>879</v>
      </c>
      <c r="S77" t="s">
        <v>281</v>
      </c>
      <c r="T77" t="s">
        <v>848</v>
      </c>
      <c r="AF77" t="str" cm="1">
        <f t="array" ref="AF77">IF(SUMPRODUCT(--ISNUMBER(SEARCH("992",T77:AE77)))&gt;0, "E&amp;M", "No E&amp;M")</f>
        <v>E&amp;M</v>
      </c>
      <c r="AG77" t="str">
        <f t="shared" si="7"/>
        <v>99214</v>
      </c>
      <c r="AH77" t="str">
        <f t="shared" si="8"/>
        <v>Estd. Patient</v>
      </c>
      <c r="AI77" t="str">
        <f t="shared" si="6"/>
        <v>Little Rock Region</v>
      </c>
    </row>
    <row r="78" spans="1:35" x14ac:dyDescent="0.3">
      <c r="A78" t="s">
        <v>505</v>
      </c>
      <c r="B78" t="s">
        <v>357</v>
      </c>
      <c r="C78" t="s">
        <v>109</v>
      </c>
      <c r="D78" t="s">
        <v>506</v>
      </c>
      <c r="E78" t="s">
        <v>507</v>
      </c>
      <c r="F78" t="s">
        <v>19</v>
      </c>
      <c r="G78" t="s">
        <v>440</v>
      </c>
      <c r="H78" t="s">
        <v>62</v>
      </c>
      <c r="I78" t="s">
        <v>22</v>
      </c>
      <c r="J78" t="s">
        <v>22</v>
      </c>
      <c r="K78" t="s">
        <v>508</v>
      </c>
      <c r="L78" t="s">
        <v>509</v>
      </c>
      <c r="M78" t="s">
        <v>113</v>
      </c>
      <c r="N78" t="s">
        <v>510</v>
      </c>
      <c r="O78" t="s">
        <v>878</v>
      </c>
      <c r="P78" t="str" cm="1">
        <f t="array" ref="P78">_xlfn.IFS(ISNUMBER(SEARCH("AEIC:", O78)), "Arkansas",ISNUMBER(SEARCH("STM:", O78)), "Texas",ISNUMBER(SEARCH("BILLING:", O78)), "Texas",ISNUMBER(SEARCH("AM:", O78)), "Texas",ISNUMBER(SEARCH("ARBlvd:", O78)), "Arkansas",ISNUMBER(SEARCH("Atlanta:", O78)), "Texas",ISNUMBER(SEARCH("Blanchard:", O78)), "Louisiana",ISNUMBER(SEARCH("Bryant:", O78)), "Arkansas",ISNUMBER(SEARCH("Choctaw:", O78)), "Oklahoma",ISNUMBER(SEARCH("Choc Allgy:", O78)), "Oklahoma",ISNUMBER(SEARCH("DeQueen:", O78)), "Arkansas",ISNUMBER(SEARCH("Edmond:", O78)), "Oklahoma",ISNUMBER(SEARCH("Edmd Aller:", O78)), "Oklahoma",ISNUMBER(SEARCH("Imaging:", O78)), "Texas",ISNUMBER(SEARCH("Longview:", O78)), "Texas",ISNUMBER(SEARCH("Marshall:", O78)), "Texas",ISNUMBER(SEARCH("Mar Allerg:", O78)), "Texas",ISNUMBER(SEARCH("Maumelle:", O78)), "Arkansas",ISNUMBER(SEARCH("MWC:", O78)), "Oklahoma",ISNUMBER(SEARCH("MWC Allgy:", O78)), "Oklahoma",ISNUMBER(SEARCH("Moore:", O78)), "Oklahoma",ISNUMBER(SEARCH("MooreAllgy:", O78)), "Oklahoma",ISNUMBER(SEARCH("MtPleasant:", O78)), "Texas",ISNUMBER(SEARCH("OccOffsite:", O78)), "Texas",ISNUMBER(SEARCH("Pain Mgmt:", O78)), "Texas",ISNUMBER(SEARCH("Paris:", O78)), "Texas",ISNUMBER(SEARCH("PT:", O78)), "Texas",ISNUMBER(SEARCH("RR Allergy:", O78)), "Texas",ISNUMBER(SEARCH("Sherwood:", O78)), "Arkansas",ISNUMBER(SEARCH("WV:", O78)), "Texas",ISNUMBER(SEARCH("Nur-Home:", O78)), "Texas",ISNUMBER(SEARCH("THC:", O78)), "Texas",ISNUMBER(SEARCH("WVTC:", O78)), "Texas",ISNUMBER(SEARCH("TSC:", O78)), "Texas",ISNUMBER(SEARCH("V-AR Blvd:", O78)), "Arkansas",ISNUMBER(SEARCH("V-Maumelle:", O78)), "Arkansas",ISNUMBER(SEARCH("V-Atlanta:", O78)), "Texas",ISNUMBER(SEARCH("VBlanchard:", O78)), "Louisiana",ISNUMBER(SEARCH("V-Bryant:", O78)), "Arkansas",ISNUMBER(SEARCH("V-Choctaw:", O78)), "Oklahoma",ISNUMBER(SEARCH("V-DeQueen:", O78)), "Arkansas",ISNUMBER(SEARCH("V-Longview:", O78)), "Texas",ISNUMBER(SEARCH("V-Marshall:", O78)), "Texas",ISNUMBER(SEARCH("V-MWC:", O78)), "Oklahoma",ISNUMBER(SEARCH("V-Moore:", O78)), "Oklahoma",ISNUMBER(SEARCH("V-MP:", O78)), "Texas",ISNUMBER(SEARCH("V-Edmond:", O78)), "Oklahoma",ISNUMBER(SEARCH("V-Paris:", O78)), "Texas",ISNUMBER(SEARCH("V-RR:", O78)), "Texas",ISNUMBER(SEARCH("V-Sherwood:", O78)), "Arkansas",ISNUMBER(SEARCH("V-WV:", O78)), "Texas",ISNUMBER(SEARCH("HealthCARE Express - Richmond Road", O78)), "Texas",ISNUMBER(SEARCH("HealthCARE Express - Occupational Medicine", O78)), "Texas")</f>
        <v>Arkansas</v>
      </c>
      <c r="Q78" t="s">
        <v>841</v>
      </c>
      <c r="R78" t="s">
        <v>928</v>
      </c>
      <c r="S78" t="s">
        <v>507</v>
      </c>
      <c r="T78" t="s">
        <v>848</v>
      </c>
      <c r="AF78" t="str" cm="1">
        <f t="array" ref="AF78">IF(SUMPRODUCT(--ISNUMBER(SEARCH("992",T78:AE78)))&gt;0, "E&amp;M", "No E&amp;M")</f>
        <v>E&amp;M</v>
      </c>
      <c r="AG78" t="str">
        <f t="shared" si="7"/>
        <v>99214</v>
      </c>
      <c r="AH78" t="str">
        <f t="shared" si="8"/>
        <v>Estd. Patient</v>
      </c>
      <c r="AI78" t="str">
        <f t="shared" si="6"/>
        <v>Little Rock Region</v>
      </c>
    </row>
    <row r="79" spans="1:35" x14ac:dyDescent="0.3">
      <c r="A79" t="s">
        <v>511</v>
      </c>
      <c r="B79" t="s">
        <v>357</v>
      </c>
      <c r="C79" t="s">
        <v>154</v>
      </c>
      <c r="D79" t="s">
        <v>512</v>
      </c>
      <c r="E79" t="s">
        <v>161</v>
      </c>
      <c r="F79" t="s">
        <v>19</v>
      </c>
      <c r="G79" t="s">
        <v>106</v>
      </c>
      <c r="H79" t="s">
        <v>22</v>
      </c>
      <c r="I79" t="s">
        <v>22</v>
      </c>
      <c r="J79" t="s">
        <v>22</v>
      </c>
      <c r="K79" t="s">
        <v>106</v>
      </c>
      <c r="L79" t="s">
        <v>513</v>
      </c>
      <c r="M79" t="s">
        <v>158</v>
      </c>
      <c r="N79" t="s">
        <v>514</v>
      </c>
      <c r="O79" t="s">
        <v>891</v>
      </c>
      <c r="P79" t="str" cm="1">
        <f t="array" ref="P79">_xlfn.IFS(ISNUMBER(SEARCH("AEIC:", O79)), "Arkansas",ISNUMBER(SEARCH("STM:", O79)), "Texas",ISNUMBER(SEARCH("BILLING:", O79)), "Texas",ISNUMBER(SEARCH("AM:", O79)), "Texas",ISNUMBER(SEARCH("ARBlvd:", O79)), "Arkansas",ISNUMBER(SEARCH("Atlanta:", O79)), "Texas",ISNUMBER(SEARCH("Blanchard:", O79)), "Louisiana",ISNUMBER(SEARCH("Bryant:", O79)), "Arkansas",ISNUMBER(SEARCH("Choctaw:", O79)), "Oklahoma",ISNUMBER(SEARCH("Choc Allgy:", O79)), "Oklahoma",ISNUMBER(SEARCH("DeQueen:", O79)), "Arkansas",ISNUMBER(SEARCH("Edmond:", O79)), "Oklahoma",ISNUMBER(SEARCH("Edmd Aller:", O79)), "Oklahoma",ISNUMBER(SEARCH("Imaging:", O79)), "Texas",ISNUMBER(SEARCH("Longview:", O79)), "Texas",ISNUMBER(SEARCH("Marshall:", O79)), "Texas",ISNUMBER(SEARCH("Mar Allerg:", O79)), "Texas",ISNUMBER(SEARCH("Maumelle:", O79)), "Arkansas",ISNUMBER(SEARCH("MWC:", O79)), "Oklahoma",ISNUMBER(SEARCH("MWC Allgy:", O79)), "Oklahoma",ISNUMBER(SEARCH("Moore:", O79)), "Oklahoma",ISNUMBER(SEARCH("MooreAllgy:", O79)), "Oklahoma",ISNUMBER(SEARCH("MtPleasant:", O79)), "Texas",ISNUMBER(SEARCH("OccOffsite:", O79)), "Texas",ISNUMBER(SEARCH("Pain Mgmt:", O79)), "Texas",ISNUMBER(SEARCH("Paris:", O79)), "Texas",ISNUMBER(SEARCH("PT:", O79)), "Texas",ISNUMBER(SEARCH("RR Allergy:", O79)), "Texas",ISNUMBER(SEARCH("Sherwood:", O79)), "Arkansas",ISNUMBER(SEARCH("WV:", O79)), "Texas",ISNUMBER(SEARCH("Nur-Home:", O79)), "Texas",ISNUMBER(SEARCH("THC:", O79)), "Texas",ISNUMBER(SEARCH("WVTC:", O79)), "Texas",ISNUMBER(SEARCH("TSC:", O79)), "Texas",ISNUMBER(SEARCH("V-AR Blvd:", O79)), "Arkansas",ISNUMBER(SEARCH("V-Maumelle:", O79)), "Arkansas",ISNUMBER(SEARCH("V-Atlanta:", O79)), "Texas",ISNUMBER(SEARCH("VBlanchard:", O79)), "Louisiana",ISNUMBER(SEARCH("V-Bryant:", O79)), "Arkansas",ISNUMBER(SEARCH("V-Choctaw:", O79)), "Oklahoma",ISNUMBER(SEARCH("V-DeQueen:", O79)), "Arkansas",ISNUMBER(SEARCH("V-Longview:", O79)), "Texas",ISNUMBER(SEARCH("V-Marshall:", O79)), "Texas",ISNUMBER(SEARCH("V-MWC:", O79)), "Oklahoma",ISNUMBER(SEARCH("V-Moore:", O79)), "Oklahoma",ISNUMBER(SEARCH("V-MP:", O79)), "Texas",ISNUMBER(SEARCH("V-Edmond:", O79)), "Oklahoma",ISNUMBER(SEARCH("V-Paris:", O79)), "Texas",ISNUMBER(SEARCH("V-RR:", O79)), "Texas",ISNUMBER(SEARCH("V-Sherwood:", O79)), "Arkansas",ISNUMBER(SEARCH("V-WV:", O79)), "Texas",ISNUMBER(SEARCH("HealthCARE Express - Richmond Road", O79)), "Texas",ISNUMBER(SEARCH("HealthCARE Express - Occupational Medicine", O79)), "Texas")</f>
        <v>Texas</v>
      </c>
      <c r="Q79" t="s">
        <v>841</v>
      </c>
      <c r="R79" t="s">
        <v>892</v>
      </c>
      <c r="S79" t="s">
        <v>161</v>
      </c>
      <c r="T79" t="s">
        <v>842</v>
      </c>
      <c r="U79" t="s">
        <v>894</v>
      </c>
      <c r="V79" t="s">
        <v>895</v>
      </c>
      <c r="AF79" t="str" cm="1">
        <f t="array" ref="AF79">IF(SUMPRODUCT(--ISNUMBER(SEARCH("992",T79:AE79)))&gt;0, "E&amp;M", "No E&amp;M")</f>
        <v>E&amp;M</v>
      </c>
      <c r="AG79" t="str">
        <f t="shared" si="7"/>
        <v>99213</v>
      </c>
      <c r="AH79" t="str">
        <f t="shared" si="8"/>
        <v>Estd. Patient</v>
      </c>
      <c r="AI79" t="str">
        <f t="shared" si="6"/>
        <v>Workers Comp</v>
      </c>
    </row>
    <row r="80" spans="1:35" x14ac:dyDescent="0.3">
      <c r="A80" t="s">
        <v>515</v>
      </c>
      <c r="B80" t="s">
        <v>357</v>
      </c>
      <c r="C80" t="s">
        <v>358</v>
      </c>
      <c r="D80" t="s">
        <v>516</v>
      </c>
      <c r="E80" t="s">
        <v>517</v>
      </c>
      <c r="F80" t="s">
        <v>19</v>
      </c>
      <c r="G80" t="s">
        <v>46</v>
      </c>
      <c r="H80" t="s">
        <v>22</v>
      </c>
      <c r="I80" t="s">
        <v>22</v>
      </c>
      <c r="J80" t="s">
        <v>22</v>
      </c>
      <c r="K80" t="s">
        <v>46</v>
      </c>
      <c r="L80" t="s">
        <v>518</v>
      </c>
      <c r="M80" t="s">
        <v>363</v>
      </c>
      <c r="N80" t="s">
        <v>519</v>
      </c>
      <c r="O80" t="s">
        <v>883</v>
      </c>
      <c r="P80" t="str" cm="1">
        <f t="array" ref="P80">_xlfn.IFS(ISNUMBER(SEARCH("AEIC:", O80)), "Arkansas",ISNUMBER(SEARCH("STM:", O80)), "Texas",ISNUMBER(SEARCH("BILLING:", O80)), "Texas",ISNUMBER(SEARCH("AM:", O80)), "Texas",ISNUMBER(SEARCH("ARBlvd:", O80)), "Arkansas",ISNUMBER(SEARCH("Atlanta:", O80)), "Texas",ISNUMBER(SEARCH("Blanchard:", O80)), "Louisiana",ISNUMBER(SEARCH("Bryant:", O80)), "Arkansas",ISNUMBER(SEARCH("Choctaw:", O80)), "Oklahoma",ISNUMBER(SEARCH("Choc Allgy:", O80)), "Oklahoma",ISNUMBER(SEARCH("DeQueen:", O80)), "Arkansas",ISNUMBER(SEARCH("Edmond:", O80)), "Oklahoma",ISNUMBER(SEARCH("Edmd Aller:", O80)), "Oklahoma",ISNUMBER(SEARCH("Imaging:", O80)), "Texas",ISNUMBER(SEARCH("Longview:", O80)), "Texas",ISNUMBER(SEARCH("Marshall:", O80)), "Texas",ISNUMBER(SEARCH("Mar Allerg:", O80)), "Texas",ISNUMBER(SEARCH("Maumelle:", O80)), "Arkansas",ISNUMBER(SEARCH("MWC:", O80)), "Oklahoma",ISNUMBER(SEARCH("MWC Allgy:", O80)), "Oklahoma",ISNUMBER(SEARCH("Moore:", O80)), "Oklahoma",ISNUMBER(SEARCH("MooreAllgy:", O80)), "Oklahoma",ISNUMBER(SEARCH("MtPleasant:", O80)), "Texas",ISNUMBER(SEARCH("OccOffsite:", O80)), "Texas",ISNUMBER(SEARCH("Pain Mgmt:", O80)), "Texas",ISNUMBER(SEARCH("Paris:", O80)), "Texas",ISNUMBER(SEARCH("PT:", O80)), "Texas",ISNUMBER(SEARCH("RR Allergy:", O80)), "Texas",ISNUMBER(SEARCH("Sherwood:", O80)), "Arkansas",ISNUMBER(SEARCH("WV:", O80)), "Texas",ISNUMBER(SEARCH("Nur-Home:", O80)), "Texas",ISNUMBER(SEARCH("THC:", O80)), "Texas",ISNUMBER(SEARCH("WVTC:", O80)), "Texas",ISNUMBER(SEARCH("TSC:", O80)), "Texas",ISNUMBER(SEARCH("V-AR Blvd:", O80)), "Arkansas",ISNUMBER(SEARCH("V-Maumelle:", O80)), "Arkansas",ISNUMBER(SEARCH("V-Atlanta:", O80)), "Texas",ISNUMBER(SEARCH("VBlanchard:", O80)), "Louisiana",ISNUMBER(SEARCH("V-Bryant:", O80)), "Arkansas",ISNUMBER(SEARCH("V-Choctaw:", O80)), "Oklahoma",ISNUMBER(SEARCH("V-DeQueen:", O80)), "Arkansas",ISNUMBER(SEARCH("V-Longview:", O80)), "Texas",ISNUMBER(SEARCH("V-Marshall:", O80)), "Texas",ISNUMBER(SEARCH("V-MWC:", O80)), "Oklahoma",ISNUMBER(SEARCH("V-Moore:", O80)), "Oklahoma",ISNUMBER(SEARCH("V-MP:", O80)), "Texas",ISNUMBER(SEARCH("V-Edmond:", O80)), "Oklahoma",ISNUMBER(SEARCH("V-Paris:", O80)), "Texas",ISNUMBER(SEARCH("V-RR:", O80)), "Texas",ISNUMBER(SEARCH("V-Sherwood:", O80)), "Arkansas",ISNUMBER(SEARCH("V-WV:", O80)), "Texas",ISNUMBER(SEARCH("HealthCARE Express - Richmond Road", O80)), "Texas",ISNUMBER(SEARCH("HealthCARE Express - Occupational Medicine", O80)), "Texas")</f>
        <v>Arkansas</v>
      </c>
      <c r="Q80" t="s">
        <v>841</v>
      </c>
      <c r="R80" t="s">
        <v>929</v>
      </c>
      <c r="S80" t="s">
        <v>517</v>
      </c>
      <c r="T80" t="s">
        <v>857</v>
      </c>
      <c r="AF80" t="str" cm="1">
        <f t="array" ref="AF80">IF(SUMPRODUCT(--ISNUMBER(SEARCH("992",T80:AE80)))&gt;0, "E&amp;M", "No E&amp;M")</f>
        <v>E&amp;M</v>
      </c>
      <c r="AG80" t="str">
        <f t="shared" si="7"/>
        <v>99204</v>
      </c>
      <c r="AH80" t="str">
        <f t="shared" si="8"/>
        <v>New Patient</v>
      </c>
      <c r="AI80" t="str">
        <f t="shared" si="6"/>
        <v>Little Rock Region</v>
      </c>
    </row>
    <row r="81" spans="1:35" x14ac:dyDescent="0.3">
      <c r="A81" t="s">
        <v>520</v>
      </c>
      <c r="B81" t="s">
        <v>357</v>
      </c>
      <c r="C81" t="s">
        <v>358</v>
      </c>
      <c r="D81" t="s">
        <v>521</v>
      </c>
      <c r="E81" t="s">
        <v>517</v>
      </c>
      <c r="F81" t="s">
        <v>19</v>
      </c>
      <c r="G81" t="s">
        <v>440</v>
      </c>
      <c r="H81" t="s">
        <v>22</v>
      </c>
      <c r="I81" t="s">
        <v>22</v>
      </c>
      <c r="J81" t="s">
        <v>22</v>
      </c>
      <c r="K81" t="s">
        <v>440</v>
      </c>
      <c r="L81" t="s">
        <v>522</v>
      </c>
      <c r="M81" t="s">
        <v>363</v>
      </c>
      <c r="N81" t="s">
        <v>519</v>
      </c>
      <c r="O81" t="s">
        <v>883</v>
      </c>
      <c r="P81" t="str" cm="1">
        <f t="array" ref="P81">_xlfn.IFS(ISNUMBER(SEARCH("AEIC:", O81)), "Arkansas",ISNUMBER(SEARCH("STM:", O81)), "Texas",ISNUMBER(SEARCH("BILLING:", O81)), "Texas",ISNUMBER(SEARCH("AM:", O81)), "Texas",ISNUMBER(SEARCH("ARBlvd:", O81)), "Arkansas",ISNUMBER(SEARCH("Atlanta:", O81)), "Texas",ISNUMBER(SEARCH("Blanchard:", O81)), "Louisiana",ISNUMBER(SEARCH("Bryant:", O81)), "Arkansas",ISNUMBER(SEARCH("Choctaw:", O81)), "Oklahoma",ISNUMBER(SEARCH("Choc Allgy:", O81)), "Oklahoma",ISNUMBER(SEARCH("DeQueen:", O81)), "Arkansas",ISNUMBER(SEARCH("Edmond:", O81)), "Oklahoma",ISNUMBER(SEARCH("Edmd Aller:", O81)), "Oklahoma",ISNUMBER(SEARCH("Imaging:", O81)), "Texas",ISNUMBER(SEARCH("Longview:", O81)), "Texas",ISNUMBER(SEARCH("Marshall:", O81)), "Texas",ISNUMBER(SEARCH("Mar Allerg:", O81)), "Texas",ISNUMBER(SEARCH("Maumelle:", O81)), "Arkansas",ISNUMBER(SEARCH("MWC:", O81)), "Oklahoma",ISNUMBER(SEARCH("MWC Allgy:", O81)), "Oklahoma",ISNUMBER(SEARCH("Moore:", O81)), "Oklahoma",ISNUMBER(SEARCH("MooreAllgy:", O81)), "Oklahoma",ISNUMBER(SEARCH("MtPleasant:", O81)), "Texas",ISNUMBER(SEARCH("OccOffsite:", O81)), "Texas",ISNUMBER(SEARCH("Pain Mgmt:", O81)), "Texas",ISNUMBER(SEARCH("Paris:", O81)), "Texas",ISNUMBER(SEARCH("PT:", O81)), "Texas",ISNUMBER(SEARCH("RR Allergy:", O81)), "Texas",ISNUMBER(SEARCH("Sherwood:", O81)), "Arkansas",ISNUMBER(SEARCH("WV:", O81)), "Texas",ISNUMBER(SEARCH("Nur-Home:", O81)), "Texas",ISNUMBER(SEARCH("THC:", O81)), "Texas",ISNUMBER(SEARCH("WVTC:", O81)), "Texas",ISNUMBER(SEARCH("TSC:", O81)), "Texas",ISNUMBER(SEARCH("V-AR Blvd:", O81)), "Arkansas",ISNUMBER(SEARCH("V-Maumelle:", O81)), "Arkansas",ISNUMBER(SEARCH("V-Atlanta:", O81)), "Texas",ISNUMBER(SEARCH("VBlanchard:", O81)), "Louisiana",ISNUMBER(SEARCH("V-Bryant:", O81)), "Arkansas",ISNUMBER(SEARCH("V-Choctaw:", O81)), "Oklahoma",ISNUMBER(SEARCH("V-DeQueen:", O81)), "Arkansas",ISNUMBER(SEARCH("V-Longview:", O81)), "Texas",ISNUMBER(SEARCH("V-Marshall:", O81)), "Texas",ISNUMBER(SEARCH("V-MWC:", O81)), "Oklahoma",ISNUMBER(SEARCH("V-Moore:", O81)), "Oklahoma",ISNUMBER(SEARCH("V-MP:", O81)), "Texas",ISNUMBER(SEARCH("V-Edmond:", O81)), "Oklahoma",ISNUMBER(SEARCH("V-Paris:", O81)), "Texas",ISNUMBER(SEARCH("V-RR:", O81)), "Texas",ISNUMBER(SEARCH("V-Sherwood:", O81)), "Arkansas",ISNUMBER(SEARCH("V-WV:", O81)), "Texas",ISNUMBER(SEARCH("HealthCARE Express - Richmond Road", O81)), "Texas",ISNUMBER(SEARCH("HealthCARE Express - Occupational Medicine", O81)), "Texas")</f>
        <v>Arkansas</v>
      </c>
      <c r="Q81" t="s">
        <v>841</v>
      </c>
      <c r="R81" t="s">
        <v>929</v>
      </c>
      <c r="S81" t="s">
        <v>517</v>
      </c>
      <c r="T81" t="s">
        <v>848</v>
      </c>
      <c r="AF81" t="str" cm="1">
        <f t="array" ref="AF81">IF(SUMPRODUCT(--ISNUMBER(SEARCH("992",T81:AE81)))&gt;0, "E&amp;M", "No E&amp;M")</f>
        <v>E&amp;M</v>
      </c>
      <c r="AG81" t="str">
        <f t="shared" si="7"/>
        <v>99214</v>
      </c>
      <c r="AH81" t="str">
        <f t="shared" si="8"/>
        <v>Estd. Patient</v>
      </c>
      <c r="AI81" t="str">
        <f t="shared" si="6"/>
        <v>Little Rock Region</v>
      </c>
    </row>
    <row r="82" spans="1:35" x14ac:dyDescent="0.3">
      <c r="A82" t="s">
        <v>523</v>
      </c>
      <c r="B82" t="s">
        <v>357</v>
      </c>
      <c r="C82" t="s">
        <v>386</v>
      </c>
      <c r="D82" t="s">
        <v>524</v>
      </c>
      <c r="E82" t="s">
        <v>525</v>
      </c>
      <c r="F82" t="s">
        <v>19</v>
      </c>
      <c r="G82" t="s">
        <v>526</v>
      </c>
      <c r="H82" t="s">
        <v>527</v>
      </c>
      <c r="I82" t="s">
        <v>22</v>
      </c>
      <c r="J82" t="s">
        <v>22</v>
      </c>
      <c r="K82" t="s">
        <v>528</v>
      </c>
      <c r="L82" t="s">
        <v>529</v>
      </c>
      <c r="M82" t="s">
        <v>392</v>
      </c>
      <c r="N82" t="s">
        <v>530</v>
      </c>
      <c r="O82" t="s">
        <v>874</v>
      </c>
      <c r="P82" t="str" cm="1">
        <f t="array" ref="P82">_xlfn.IFS(ISNUMBER(SEARCH("AEIC:", O82)), "Arkansas",ISNUMBER(SEARCH("STM:", O82)), "Texas",ISNUMBER(SEARCH("BILLING:", O82)), "Texas",ISNUMBER(SEARCH("AM:", O82)), "Texas",ISNUMBER(SEARCH("ARBlvd:", O82)), "Arkansas",ISNUMBER(SEARCH("Atlanta:", O82)), "Texas",ISNUMBER(SEARCH("Blanchard:", O82)), "Louisiana",ISNUMBER(SEARCH("Bryant:", O82)), "Arkansas",ISNUMBER(SEARCH("Choctaw:", O82)), "Oklahoma",ISNUMBER(SEARCH("Choc Allgy:", O82)), "Oklahoma",ISNUMBER(SEARCH("DeQueen:", O82)), "Arkansas",ISNUMBER(SEARCH("Edmond:", O82)), "Oklahoma",ISNUMBER(SEARCH("Edmd Aller:", O82)), "Oklahoma",ISNUMBER(SEARCH("Imaging:", O82)), "Texas",ISNUMBER(SEARCH("Longview:", O82)), "Texas",ISNUMBER(SEARCH("Marshall:", O82)), "Texas",ISNUMBER(SEARCH("Mar Allerg:", O82)), "Texas",ISNUMBER(SEARCH("Maumelle:", O82)), "Arkansas",ISNUMBER(SEARCH("MWC:", O82)), "Oklahoma",ISNUMBER(SEARCH("MWC Allgy:", O82)), "Oklahoma",ISNUMBER(SEARCH("Moore:", O82)), "Oklahoma",ISNUMBER(SEARCH("MooreAllgy:", O82)), "Oklahoma",ISNUMBER(SEARCH("MtPleasant:", O82)), "Texas",ISNUMBER(SEARCH("OccOffsite:", O82)), "Texas",ISNUMBER(SEARCH("Pain Mgmt:", O82)), "Texas",ISNUMBER(SEARCH("Paris:", O82)), "Texas",ISNUMBER(SEARCH("PT:", O82)), "Texas",ISNUMBER(SEARCH("RR Allergy:", O82)), "Texas",ISNUMBER(SEARCH("Sherwood:", O82)), "Arkansas",ISNUMBER(SEARCH("WV:", O82)), "Texas",ISNUMBER(SEARCH("Nur-Home:", O82)), "Texas",ISNUMBER(SEARCH("THC:", O82)), "Texas",ISNUMBER(SEARCH("WVTC:", O82)), "Texas",ISNUMBER(SEARCH("TSC:", O82)), "Texas",ISNUMBER(SEARCH("V-AR Blvd:", O82)), "Arkansas",ISNUMBER(SEARCH("V-Maumelle:", O82)), "Arkansas",ISNUMBER(SEARCH("V-Atlanta:", O82)), "Texas",ISNUMBER(SEARCH("VBlanchard:", O82)), "Louisiana",ISNUMBER(SEARCH("V-Bryant:", O82)), "Arkansas",ISNUMBER(SEARCH("V-Choctaw:", O82)), "Oklahoma",ISNUMBER(SEARCH("V-DeQueen:", O82)), "Arkansas",ISNUMBER(SEARCH("V-Longview:", O82)), "Texas",ISNUMBER(SEARCH("V-Marshall:", O82)), "Texas",ISNUMBER(SEARCH("V-MWC:", O82)), "Oklahoma",ISNUMBER(SEARCH("V-Moore:", O82)), "Oklahoma",ISNUMBER(SEARCH("V-MP:", O82)), "Texas",ISNUMBER(SEARCH("V-Edmond:", O82)), "Oklahoma",ISNUMBER(SEARCH("V-Paris:", O82)), "Texas",ISNUMBER(SEARCH("V-RR:", O82)), "Texas",ISNUMBER(SEARCH("V-Sherwood:", O82)), "Arkansas",ISNUMBER(SEARCH("V-WV:", O82)), "Texas",ISNUMBER(SEARCH("HealthCARE Express - Richmond Road", O82)), "Texas",ISNUMBER(SEARCH("HealthCARE Express - Occupational Medicine", O82)), "Texas")</f>
        <v>Arkansas</v>
      </c>
      <c r="Q82" t="s">
        <v>841</v>
      </c>
      <c r="R82" t="s">
        <v>882</v>
      </c>
      <c r="S82" t="s">
        <v>525</v>
      </c>
      <c r="T82" t="s">
        <v>848</v>
      </c>
      <c r="U82" t="s">
        <v>880</v>
      </c>
      <c r="V82" t="s">
        <v>852</v>
      </c>
      <c r="AF82" t="str" cm="1">
        <f t="array" ref="AF82">IF(SUMPRODUCT(--ISNUMBER(SEARCH("992",T82:AE82)))&gt;0, "E&amp;M", "No E&amp;M")</f>
        <v>E&amp;M</v>
      </c>
      <c r="AG82" t="str">
        <f t="shared" si="7"/>
        <v>99214</v>
      </c>
      <c r="AH82" t="str">
        <f t="shared" si="8"/>
        <v>Estd. Patient</v>
      </c>
      <c r="AI82" t="str">
        <f t="shared" si="6"/>
        <v>Little Rock Region</v>
      </c>
    </row>
    <row r="83" spans="1:35" x14ac:dyDescent="0.3">
      <c r="A83" t="s">
        <v>531</v>
      </c>
      <c r="B83" t="s">
        <v>357</v>
      </c>
      <c r="C83" t="s">
        <v>532</v>
      </c>
      <c r="D83" t="s">
        <v>533</v>
      </c>
      <c r="E83" t="s">
        <v>534</v>
      </c>
      <c r="F83" t="s">
        <v>19</v>
      </c>
      <c r="G83" t="s">
        <v>482</v>
      </c>
      <c r="H83" t="s">
        <v>62</v>
      </c>
      <c r="I83" t="s">
        <v>22</v>
      </c>
      <c r="J83" t="s">
        <v>22</v>
      </c>
      <c r="K83" t="s">
        <v>62</v>
      </c>
      <c r="L83" t="s">
        <v>535</v>
      </c>
      <c r="M83" t="s">
        <v>536</v>
      </c>
      <c r="N83" t="s">
        <v>533</v>
      </c>
      <c r="O83" t="s">
        <v>908</v>
      </c>
      <c r="P83" t="str" cm="1">
        <f t="array" ref="P83">_xlfn.IFS(ISNUMBER(SEARCH("AEIC:", O83)), "Arkansas",ISNUMBER(SEARCH("STM:", O83)), "Texas",ISNUMBER(SEARCH("BILLING:", O83)), "Texas",ISNUMBER(SEARCH("AM:", O83)), "Texas",ISNUMBER(SEARCH("ARBlvd:", O83)), "Arkansas",ISNUMBER(SEARCH("Atlanta:", O83)), "Texas",ISNUMBER(SEARCH("Blanchard:", O83)), "Louisiana",ISNUMBER(SEARCH("Bryant:", O83)), "Arkansas",ISNUMBER(SEARCH("Choctaw:", O83)), "Oklahoma",ISNUMBER(SEARCH("Choc Allgy:", O83)), "Oklahoma",ISNUMBER(SEARCH("DeQueen:", O83)), "Arkansas",ISNUMBER(SEARCH("Edmond:", O83)), "Oklahoma",ISNUMBER(SEARCH("Edmd Aller:", O83)), "Oklahoma",ISNUMBER(SEARCH("Imaging:", O83)), "Texas",ISNUMBER(SEARCH("Longview:", O83)), "Texas",ISNUMBER(SEARCH("Marshall:", O83)), "Texas",ISNUMBER(SEARCH("Mar Allerg:", O83)), "Texas",ISNUMBER(SEARCH("Maumelle:", O83)), "Arkansas",ISNUMBER(SEARCH("MWC:", O83)), "Oklahoma",ISNUMBER(SEARCH("MWC Allgy:", O83)), "Oklahoma",ISNUMBER(SEARCH("Moore:", O83)), "Oklahoma",ISNUMBER(SEARCH("MooreAllgy:", O83)), "Oklahoma",ISNUMBER(SEARCH("MtPleasant:", O83)), "Texas",ISNUMBER(SEARCH("OccOffsite:", O83)), "Texas",ISNUMBER(SEARCH("Pain Mgmt:", O83)), "Texas",ISNUMBER(SEARCH("Paris:", O83)), "Texas",ISNUMBER(SEARCH("PT:", O83)), "Texas",ISNUMBER(SEARCH("RR Allergy:", O83)), "Texas",ISNUMBER(SEARCH("Sherwood:", O83)), "Arkansas",ISNUMBER(SEARCH("WV:", O83)), "Texas",ISNUMBER(SEARCH("Nur-Home:", O83)), "Texas",ISNUMBER(SEARCH("THC:", O83)), "Texas",ISNUMBER(SEARCH("WVTC:", O83)), "Texas",ISNUMBER(SEARCH("TSC:", O83)), "Texas",ISNUMBER(SEARCH("V-AR Blvd:", O83)), "Arkansas",ISNUMBER(SEARCH("V-Maumelle:", O83)), "Arkansas",ISNUMBER(SEARCH("V-Atlanta:", O83)), "Texas",ISNUMBER(SEARCH("VBlanchard:", O83)), "Louisiana",ISNUMBER(SEARCH("V-Bryant:", O83)), "Arkansas",ISNUMBER(SEARCH("V-Choctaw:", O83)), "Oklahoma",ISNUMBER(SEARCH("V-DeQueen:", O83)), "Arkansas",ISNUMBER(SEARCH("V-Longview:", O83)), "Texas",ISNUMBER(SEARCH("V-Marshall:", O83)), "Texas",ISNUMBER(SEARCH("V-MWC:", O83)), "Oklahoma",ISNUMBER(SEARCH("V-Moore:", O83)), "Oklahoma",ISNUMBER(SEARCH("V-MP:", O83)), "Texas",ISNUMBER(SEARCH("V-Edmond:", O83)), "Oklahoma",ISNUMBER(SEARCH("V-Paris:", O83)), "Texas",ISNUMBER(SEARCH("V-RR:", O83)), "Texas",ISNUMBER(SEARCH("V-Sherwood:", O83)), "Arkansas",ISNUMBER(SEARCH("V-WV:", O83)), "Texas",ISNUMBER(SEARCH("HealthCARE Express - Richmond Road", O83)), "Texas",ISNUMBER(SEARCH("HealthCARE Express - Occupational Medicine", O83)), "Texas")</f>
        <v>Texas</v>
      </c>
      <c r="Q83" t="s">
        <v>841</v>
      </c>
      <c r="R83" t="s">
        <v>882</v>
      </c>
      <c r="S83" t="s">
        <v>534</v>
      </c>
      <c r="T83" t="s">
        <v>844</v>
      </c>
      <c r="U83" t="s">
        <v>930</v>
      </c>
      <c r="AF83" t="str" cm="1">
        <f t="array" ref="AF83">IF(SUMPRODUCT(--ISNUMBER(SEARCH("992",T83:AE83)))&gt;0, "E&amp;M", "No E&amp;M")</f>
        <v>No E&amp;M</v>
      </c>
      <c r="AG83" t="str">
        <f t="shared" si="7"/>
        <v>No E&amp;M</v>
      </c>
      <c r="AH83" t="str">
        <f t="shared" si="8"/>
        <v>No E&amp;M</v>
      </c>
      <c r="AI83" t="str">
        <f t="shared" si="6"/>
        <v>-</v>
      </c>
    </row>
    <row r="84" spans="1:35" x14ac:dyDescent="0.3">
      <c r="A84" t="s">
        <v>537</v>
      </c>
      <c r="B84" t="s">
        <v>357</v>
      </c>
      <c r="C84" t="s">
        <v>386</v>
      </c>
      <c r="D84" t="s">
        <v>538</v>
      </c>
      <c r="E84" t="s">
        <v>539</v>
      </c>
      <c r="F84" t="s">
        <v>19</v>
      </c>
      <c r="G84" t="s">
        <v>540</v>
      </c>
      <c r="H84" t="s">
        <v>62</v>
      </c>
      <c r="I84" t="s">
        <v>22</v>
      </c>
      <c r="J84" t="s">
        <v>22</v>
      </c>
      <c r="K84" t="s">
        <v>541</v>
      </c>
      <c r="L84" t="s">
        <v>542</v>
      </c>
      <c r="M84" t="s">
        <v>392</v>
      </c>
      <c r="N84" t="s">
        <v>538</v>
      </c>
      <c r="O84" t="s">
        <v>874</v>
      </c>
      <c r="P84" t="str" cm="1">
        <f t="array" ref="P84">_xlfn.IFS(ISNUMBER(SEARCH("AEIC:", O84)), "Arkansas",ISNUMBER(SEARCH("STM:", O84)), "Texas",ISNUMBER(SEARCH("BILLING:", O84)), "Texas",ISNUMBER(SEARCH("AM:", O84)), "Texas",ISNUMBER(SEARCH("ARBlvd:", O84)), "Arkansas",ISNUMBER(SEARCH("Atlanta:", O84)), "Texas",ISNUMBER(SEARCH("Blanchard:", O84)), "Louisiana",ISNUMBER(SEARCH("Bryant:", O84)), "Arkansas",ISNUMBER(SEARCH("Choctaw:", O84)), "Oklahoma",ISNUMBER(SEARCH("Choc Allgy:", O84)), "Oklahoma",ISNUMBER(SEARCH("DeQueen:", O84)), "Arkansas",ISNUMBER(SEARCH("Edmond:", O84)), "Oklahoma",ISNUMBER(SEARCH("Edmd Aller:", O84)), "Oklahoma",ISNUMBER(SEARCH("Imaging:", O84)), "Texas",ISNUMBER(SEARCH("Longview:", O84)), "Texas",ISNUMBER(SEARCH("Marshall:", O84)), "Texas",ISNUMBER(SEARCH("Mar Allerg:", O84)), "Texas",ISNUMBER(SEARCH("Maumelle:", O84)), "Arkansas",ISNUMBER(SEARCH("MWC:", O84)), "Oklahoma",ISNUMBER(SEARCH("MWC Allgy:", O84)), "Oklahoma",ISNUMBER(SEARCH("Moore:", O84)), "Oklahoma",ISNUMBER(SEARCH("MooreAllgy:", O84)), "Oklahoma",ISNUMBER(SEARCH("MtPleasant:", O84)), "Texas",ISNUMBER(SEARCH("OccOffsite:", O84)), "Texas",ISNUMBER(SEARCH("Pain Mgmt:", O84)), "Texas",ISNUMBER(SEARCH("Paris:", O84)), "Texas",ISNUMBER(SEARCH("PT:", O84)), "Texas",ISNUMBER(SEARCH("RR Allergy:", O84)), "Texas",ISNUMBER(SEARCH("Sherwood:", O84)), "Arkansas",ISNUMBER(SEARCH("WV:", O84)), "Texas",ISNUMBER(SEARCH("Nur-Home:", O84)), "Texas",ISNUMBER(SEARCH("THC:", O84)), "Texas",ISNUMBER(SEARCH("WVTC:", O84)), "Texas",ISNUMBER(SEARCH("TSC:", O84)), "Texas",ISNUMBER(SEARCH("V-AR Blvd:", O84)), "Arkansas",ISNUMBER(SEARCH("V-Maumelle:", O84)), "Arkansas",ISNUMBER(SEARCH("V-Atlanta:", O84)), "Texas",ISNUMBER(SEARCH("VBlanchard:", O84)), "Louisiana",ISNUMBER(SEARCH("V-Bryant:", O84)), "Arkansas",ISNUMBER(SEARCH("V-Choctaw:", O84)), "Oklahoma",ISNUMBER(SEARCH("V-DeQueen:", O84)), "Arkansas",ISNUMBER(SEARCH("V-Longview:", O84)), "Texas",ISNUMBER(SEARCH("V-Marshall:", O84)), "Texas",ISNUMBER(SEARCH("V-MWC:", O84)), "Oklahoma",ISNUMBER(SEARCH("V-Moore:", O84)), "Oklahoma",ISNUMBER(SEARCH("V-MP:", O84)), "Texas",ISNUMBER(SEARCH("V-Edmond:", O84)), "Oklahoma",ISNUMBER(SEARCH("V-Paris:", O84)), "Texas",ISNUMBER(SEARCH("V-RR:", O84)), "Texas",ISNUMBER(SEARCH("V-Sherwood:", O84)), "Arkansas",ISNUMBER(SEARCH("V-WV:", O84)), "Texas",ISNUMBER(SEARCH("HealthCARE Express - Richmond Road", O84)), "Texas",ISNUMBER(SEARCH("HealthCARE Express - Occupational Medicine", O84)), "Texas")</f>
        <v>Arkansas</v>
      </c>
      <c r="Q84" t="s">
        <v>841</v>
      </c>
      <c r="R84" t="s">
        <v>868</v>
      </c>
      <c r="S84" t="s">
        <v>539</v>
      </c>
      <c r="T84" t="s">
        <v>848</v>
      </c>
      <c r="U84" t="s">
        <v>861</v>
      </c>
      <c r="V84" t="s">
        <v>867</v>
      </c>
      <c r="AF84" t="str" cm="1">
        <f t="array" ref="AF84">IF(SUMPRODUCT(--ISNUMBER(SEARCH("992",T84:AE84)))&gt;0, "E&amp;M", "No E&amp;M")</f>
        <v>E&amp;M</v>
      </c>
      <c r="AG84" t="str">
        <f t="shared" si="7"/>
        <v>99214</v>
      </c>
      <c r="AH84" t="str">
        <f t="shared" si="8"/>
        <v>Estd. Patient</v>
      </c>
      <c r="AI84" t="str">
        <f t="shared" si="6"/>
        <v>Little Rock Region</v>
      </c>
    </row>
    <row r="85" spans="1:35" x14ac:dyDescent="0.3">
      <c r="A85" t="s">
        <v>543</v>
      </c>
      <c r="B85" t="s">
        <v>357</v>
      </c>
      <c r="C85" t="s">
        <v>358</v>
      </c>
      <c r="D85" t="s">
        <v>544</v>
      </c>
      <c r="E85" t="s">
        <v>328</v>
      </c>
      <c r="F85" t="s">
        <v>19</v>
      </c>
      <c r="G85" t="s">
        <v>545</v>
      </c>
      <c r="H85" t="s">
        <v>62</v>
      </c>
      <c r="I85" t="s">
        <v>22</v>
      </c>
      <c r="J85" t="s">
        <v>22</v>
      </c>
      <c r="K85" t="s">
        <v>546</v>
      </c>
      <c r="L85" t="s">
        <v>547</v>
      </c>
      <c r="M85" t="s">
        <v>363</v>
      </c>
      <c r="N85" t="s">
        <v>544</v>
      </c>
      <c r="O85" t="s">
        <v>883</v>
      </c>
      <c r="P85" t="str" cm="1">
        <f t="array" ref="P85">_xlfn.IFS(ISNUMBER(SEARCH("AEIC:", O85)), "Arkansas",ISNUMBER(SEARCH("STM:", O85)), "Texas",ISNUMBER(SEARCH("BILLING:", O85)), "Texas",ISNUMBER(SEARCH("AM:", O85)), "Texas",ISNUMBER(SEARCH("ARBlvd:", O85)), "Arkansas",ISNUMBER(SEARCH("Atlanta:", O85)), "Texas",ISNUMBER(SEARCH("Blanchard:", O85)), "Louisiana",ISNUMBER(SEARCH("Bryant:", O85)), "Arkansas",ISNUMBER(SEARCH("Choctaw:", O85)), "Oklahoma",ISNUMBER(SEARCH("Choc Allgy:", O85)), "Oklahoma",ISNUMBER(SEARCH("DeQueen:", O85)), "Arkansas",ISNUMBER(SEARCH("Edmond:", O85)), "Oklahoma",ISNUMBER(SEARCH("Edmd Aller:", O85)), "Oklahoma",ISNUMBER(SEARCH("Imaging:", O85)), "Texas",ISNUMBER(SEARCH("Longview:", O85)), "Texas",ISNUMBER(SEARCH("Marshall:", O85)), "Texas",ISNUMBER(SEARCH("Mar Allerg:", O85)), "Texas",ISNUMBER(SEARCH("Maumelle:", O85)), "Arkansas",ISNUMBER(SEARCH("MWC:", O85)), "Oklahoma",ISNUMBER(SEARCH("MWC Allgy:", O85)), "Oklahoma",ISNUMBER(SEARCH("Moore:", O85)), "Oklahoma",ISNUMBER(SEARCH("MooreAllgy:", O85)), "Oklahoma",ISNUMBER(SEARCH("MtPleasant:", O85)), "Texas",ISNUMBER(SEARCH("OccOffsite:", O85)), "Texas",ISNUMBER(SEARCH("Pain Mgmt:", O85)), "Texas",ISNUMBER(SEARCH("Paris:", O85)), "Texas",ISNUMBER(SEARCH("PT:", O85)), "Texas",ISNUMBER(SEARCH("RR Allergy:", O85)), "Texas",ISNUMBER(SEARCH("Sherwood:", O85)), "Arkansas",ISNUMBER(SEARCH("WV:", O85)), "Texas",ISNUMBER(SEARCH("Nur-Home:", O85)), "Texas",ISNUMBER(SEARCH("THC:", O85)), "Texas",ISNUMBER(SEARCH("WVTC:", O85)), "Texas",ISNUMBER(SEARCH("TSC:", O85)), "Texas",ISNUMBER(SEARCH("V-AR Blvd:", O85)), "Arkansas",ISNUMBER(SEARCH("V-Maumelle:", O85)), "Arkansas",ISNUMBER(SEARCH("V-Atlanta:", O85)), "Texas",ISNUMBER(SEARCH("VBlanchard:", O85)), "Louisiana",ISNUMBER(SEARCH("V-Bryant:", O85)), "Arkansas",ISNUMBER(SEARCH("V-Choctaw:", O85)), "Oklahoma",ISNUMBER(SEARCH("V-DeQueen:", O85)), "Arkansas",ISNUMBER(SEARCH("V-Longview:", O85)), "Texas",ISNUMBER(SEARCH("V-Marshall:", O85)), "Texas",ISNUMBER(SEARCH("V-MWC:", O85)), "Oklahoma",ISNUMBER(SEARCH("V-Moore:", O85)), "Oklahoma",ISNUMBER(SEARCH("V-MP:", O85)), "Texas",ISNUMBER(SEARCH("V-Edmond:", O85)), "Oklahoma",ISNUMBER(SEARCH("V-Paris:", O85)), "Texas",ISNUMBER(SEARCH("V-RR:", O85)), "Texas",ISNUMBER(SEARCH("V-Sherwood:", O85)), "Arkansas",ISNUMBER(SEARCH("V-WV:", O85)), "Texas",ISNUMBER(SEARCH("HealthCARE Express - Richmond Road", O85)), "Texas",ISNUMBER(SEARCH("HealthCARE Express - Occupational Medicine", O85)), "Texas")</f>
        <v>Arkansas</v>
      </c>
      <c r="Q85" t="s">
        <v>841</v>
      </c>
      <c r="R85" t="s">
        <v>882</v>
      </c>
      <c r="S85" t="s">
        <v>328</v>
      </c>
      <c r="T85" t="s">
        <v>848</v>
      </c>
      <c r="U85" t="s">
        <v>889</v>
      </c>
      <c r="V85" t="s">
        <v>844</v>
      </c>
      <c r="W85" t="s">
        <v>864</v>
      </c>
      <c r="X85" t="s">
        <v>845</v>
      </c>
      <c r="AF85" t="str" cm="1">
        <f t="array" ref="AF85">IF(SUMPRODUCT(--ISNUMBER(SEARCH("992",T85:AE85)))&gt;0, "E&amp;M", "No E&amp;M")</f>
        <v>E&amp;M</v>
      </c>
      <c r="AG85" t="str">
        <f t="shared" si="7"/>
        <v>99214</v>
      </c>
      <c r="AH85" t="str">
        <f t="shared" si="8"/>
        <v>Estd. Patient</v>
      </c>
      <c r="AI85" t="str">
        <f t="shared" si="6"/>
        <v>Little Rock Region</v>
      </c>
    </row>
    <row r="86" spans="1:35" x14ac:dyDescent="0.3">
      <c r="A86" t="s">
        <v>548</v>
      </c>
      <c r="B86" t="s">
        <v>357</v>
      </c>
      <c r="C86" t="s">
        <v>358</v>
      </c>
      <c r="D86" t="s">
        <v>549</v>
      </c>
      <c r="E86" t="s">
        <v>507</v>
      </c>
      <c r="F86" t="s">
        <v>19</v>
      </c>
      <c r="G86" t="s">
        <v>416</v>
      </c>
      <c r="H86" t="s">
        <v>79</v>
      </c>
      <c r="I86" t="s">
        <v>22</v>
      </c>
      <c r="J86" t="s">
        <v>22</v>
      </c>
      <c r="K86" t="s">
        <v>550</v>
      </c>
      <c r="L86" t="s">
        <v>551</v>
      </c>
      <c r="M86" t="s">
        <v>363</v>
      </c>
      <c r="N86" t="s">
        <v>549</v>
      </c>
      <c r="O86" t="s">
        <v>883</v>
      </c>
      <c r="P86" t="str" cm="1">
        <f t="array" ref="P86">_xlfn.IFS(ISNUMBER(SEARCH("AEIC:", O86)), "Arkansas",ISNUMBER(SEARCH("STM:", O86)), "Texas",ISNUMBER(SEARCH("BILLING:", O86)), "Texas",ISNUMBER(SEARCH("AM:", O86)), "Texas",ISNUMBER(SEARCH("ARBlvd:", O86)), "Arkansas",ISNUMBER(SEARCH("Atlanta:", O86)), "Texas",ISNUMBER(SEARCH("Blanchard:", O86)), "Louisiana",ISNUMBER(SEARCH("Bryant:", O86)), "Arkansas",ISNUMBER(SEARCH("Choctaw:", O86)), "Oklahoma",ISNUMBER(SEARCH("Choc Allgy:", O86)), "Oklahoma",ISNUMBER(SEARCH("DeQueen:", O86)), "Arkansas",ISNUMBER(SEARCH("Edmond:", O86)), "Oklahoma",ISNUMBER(SEARCH("Edmd Aller:", O86)), "Oklahoma",ISNUMBER(SEARCH("Imaging:", O86)), "Texas",ISNUMBER(SEARCH("Longview:", O86)), "Texas",ISNUMBER(SEARCH("Marshall:", O86)), "Texas",ISNUMBER(SEARCH("Mar Allerg:", O86)), "Texas",ISNUMBER(SEARCH("Maumelle:", O86)), "Arkansas",ISNUMBER(SEARCH("MWC:", O86)), "Oklahoma",ISNUMBER(SEARCH("MWC Allgy:", O86)), "Oklahoma",ISNUMBER(SEARCH("Moore:", O86)), "Oklahoma",ISNUMBER(SEARCH("MooreAllgy:", O86)), "Oklahoma",ISNUMBER(SEARCH("MtPleasant:", O86)), "Texas",ISNUMBER(SEARCH("OccOffsite:", O86)), "Texas",ISNUMBER(SEARCH("Pain Mgmt:", O86)), "Texas",ISNUMBER(SEARCH("Paris:", O86)), "Texas",ISNUMBER(SEARCH("PT:", O86)), "Texas",ISNUMBER(SEARCH("RR Allergy:", O86)), "Texas",ISNUMBER(SEARCH("Sherwood:", O86)), "Arkansas",ISNUMBER(SEARCH("WV:", O86)), "Texas",ISNUMBER(SEARCH("Nur-Home:", O86)), "Texas",ISNUMBER(SEARCH("THC:", O86)), "Texas",ISNUMBER(SEARCH("WVTC:", O86)), "Texas",ISNUMBER(SEARCH("TSC:", O86)), "Texas",ISNUMBER(SEARCH("V-AR Blvd:", O86)), "Arkansas",ISNUMBER(SEARCH("V-Maumelle:", O86)), "Arkansas",ISNUMBER(SEARCH("V-Atlanta:", O86)), "Texas",ISNUMBER(SEARCH("VBlanchard:", O86)), "Louisiana",ISNUMBER(SEARCH("V-Bryant:", O86)), "Arkansas",ISNUMBER(SEARCH("V-Choctaw:", O86)), "Oklahoma",ISNUMBER(SEARCH("V-DeQueen:", O86)), "Arkansas",ISNUMBER(SEARCH("V-Longview:", O86)), "Texas",ISNUMBER(SEARCH("V-Marshall:", O86)), "Texas",ISNUMBER(SEARCH("V-MWC:", O86)), "Oklahoma",ISNUMBER(SEARCH("V-Moore:", O86)), "Oklahoma",ISNUMBER(SEARCH("V-MP:", O86)), "Texas",ISNUMBER(SEARCH("V-Edmond:", O86)), "Oklahoma",ISNUMBER(SEARCH("V-Paris:", O86)), "Texas",ISNUMBER(SEARCH("V-RR:", O86)), "Texas",ISNUMBER(SEARCH("V-Sherwood:", O86)), "Arkansas",ISNUMBER(SEARCH("V-WV:", O86)), "Texas",ISNUMBER(SEARCH("HealthCARE Express - Richmond Road", O86)), "Texas",ISNUMBER(SEARCH("HealthCARE Express - Occupational Medicine", O86)), "Texas")</f>
        <v>Arkansas</v>
      </c>
      <c r="Q86" t="s">
        <v>841</v>
      </c>
      <c r="R86" t="s">
        <v>928</v>
      </c>
      <c r="S86" t="s">
        <v>507</v>
      </c>
      <c r="T86" t="s">
        <v>848</v>
      </c>
      <c r="U86" t="s">
        <v>880</v>
      </c>
      <c r="V86" t="s">
        <v>864</v>
      </c>
      <c r="AF86" t="str" cm="1">
        <f t="array" ref="AF86">IF(SUMPRODUCT(--ISNUMBER(SEARCH("992",T86:AE86)))&gt;0, "E&amp;M", "No E&amp;M")</f>
        <v>E&amp;M</v>
      </c>
      <c r="AG86" t="str">
        <f t="shared" si="7"/>
        <v>99214</v>
      </c>
      <c r="AH86" t="str">
        <f t="shared" si="8"/>
        <v>Estd. Patient</v>
      </c>
      <c r="AI86" t="str">
        <f t="shared" si="6"/>
        <v>Little Rock Region</v>
      </c>
    </row>
    <row r="87" spans="1:35" x14ac:dyDescent="0.3">
      <c r="A87" t="s">
        <v>552</v>
      </c>
      <c r="B87" t="s">
        <v>357</v>
      </c>
      <c r="C87" t="s">
        <v>358</v>
      </c>
      <c r="D87" t="s">
        <v>553</v>
      </c>
      <c r="E87" t="s">
        <v>554</v>
      </c>
      <c r="F87" t="s">
        <v>19</v>
      </c>
      <c r="G87" t="s">
        <v>274</v>
      </c>
      <c r="H87" t="s">
        <v>62</v>
      </c>
      <c r="I87" t="s">
        <v>22</v>
      </c>
      <c r="J87" t="s">
        <v>22</v>
      </c>
      <c r="K87" t="s">
        <v>555</v>
      </c>
      <c r="L87" t="s">
        <v>556</v>
      </c>
      <c r="M87" t="s">
        <v>363</v>
      </c>
      <c r="N87" t="s">
        <v>557</v>
      </c>
      <c r="O87" t="s">
        <v>883</v>
      </c>
      <c r="P87" t="str" cm="1">
        <f t="array" ref="P87">_xlfn.IFS(ISNUMBER(SEARCH("AEIC:", O87)), "Arkansas",ISNUMBER(SEARCH("STM:", O87)), "Texas",ISNUMBER(SEARCH("BILLING:", O87)), "Texas",ISNUMBER(SEARCH("AM:", O87)), "Texas",ISNUMBER(SEARCH("ARBlvd:", O87)), "Arkansas",ISNUMBER(SEARCH("Atlanta:", O87)), "Texas",ISNUMBER(SEARCH("Blanchard:", O87)), "Louisiana",ISNUMBER(SEARCH("Bryant:", O87)), "Arkansas",ISNUMBER(SEARCH("Choctaw:", O87)), "Oklahoma",ISNUMBER(SEARCH("Choc Allgy:", O87)), "Oklahoma",ISNUMBER(SEARCH("DeQueen:", O87)), "Arkansas",ISNUMBER(SEARCH("Edmond:", O87)), "Oklahoma",ISNUMBER(SEARCH("Edmd Aller:", O87)), "Oklahoma",ISNUMBER(SEARCH("Imaging:", O87)), "Texas",ISNUMBER(SEARCH("Longview:", O87)), "Texas",ISNUMBER(SEARCH("Marshall:", O87)), "Texas",ISNUMBER(SEARCH("Mar Allerg:", O87)), "Texas",ISNUMBER(SEARCH("Maumelle:", O87)), "Arkansas",ISNUMBER(SEARCH("MWC:", O87)), "Oklahoma",ISNUMBER(SEARCH("MWC Allgy:", O87)), "Oklahoma",ISNUMBER(SEARCH("Moore:", O87)), "Oklahoma",ISNUMBER(SEARCH("MooreAllgy:", O87)), "Oklahoma",ISNUMBER(SEARCH("MtPleasant:", O87)), "Texas",ISNUMBER(SEARCH("OccOffsite:", O87)), "Texas",ISNUMBER(SEARCH("Pain Mgmt:", O87)), "Texas",ISNUMBER(SEARCH("Paris:", O87)), "Texas",ISNUMBER(SEARCH("PT:", O87)), "Texas",ISNUMBER(SEARCH("RR Allergy:", O87)), "Texas",ISNUMBER(SEARCH("Sherwood:", O87)), "Arkansas",ISNUMBER(SEARCH("WV:", O87)), "Texas",ISNUMBER(SEARCH("Nur-Home:", O87)), "Texas",ISNUMBER(SEARCH("THC:", O87)), "Texas",ISNUMBER(SEARCH("WVTC:", O87)), "Texas",ISNUMBER(SEARCH("TSC:", O87)), "Texas",ISNUMBER(SEARCH("V-AR Blvd:", O87)), "Arkansas",ISNUMBER(SEARCH("V-Maumelle:", O87)), "Arkansas",ISNUMBER(SEARCH("V-Atlanta:", O87)), "Texas",ISNUMBER(SEARCH("VBlanchard:", O87)), "Louisiana",ISNUMBER(SEARCH("V-Bryant:", O87)), "Arkansas",ISNUMBER(SEARCH("V-Choctaw:", O87)), "Oklahoma",ISNUMBER(SEARCH("V-DeQueen:", O87)), "Arkansas",ISNUMBER(SEARCH("V-Longview:", O87)), "Texas",ISNUMBER(SEARCH("V-Marshall:", O87)), "Texas",ISNUMBER(SEARCH("V-MWC:", O87)), "Oklahoma",ISNUMBER(SEARCH("V-Moore:", O87)), "Oklahoma",ISNUMBER(SEARCH("V-MP:", O87)), "Texas",ISNUMBER(SEARCH("V-Edmond:", O87)), "Oklahoma",ISNUMBER(SEARCH("V-Paris:", O87)), "Texas",ISNUMBER(SEARCH("V-RR:", O87)), "Texas",ISNUMBER(SEARCH("V-Sherwood:", O87)), "Arkansas",ISNUMBER(SEARCH("V-WV:", O87)), "Texas",ISNUMBER(SEARCH("HealthCARE Express - Richmond Road", O87)), "Texas",ISNUMBER(SEARCH("HealthCARE Express - Occupational Medicine", O87)), "Texas")</f>
        <v>Arkansas</v>
      </c>
      <c r="Q87" t="s">
        <v>841</v>
      </c>
      <c r="R87" t="s">
        <v>868</v>
      </c>
      <c r="S87" t="s">
        <v>554</v>
      </c>
      <c r="T87" t="s">
        <v>848</v>
      </c>
      <c r="U87" t="s">
        <v>864</v>
      </c>
      <c r="AF87" t="str" cm="1">
        <f t="array" ref="AF87">IF(SUMPRODUCT(--ISNUMBER(SEARCH("992",T87:AE87)))&gt;0, "E&amp;M", "No E&amp;M")</f>
        <v>E&amp;M</v>
      </c>
      <c r="AG87" t="str">
        <f t="shared" si="7"/>
        <v>99214</v>
      </c>
      <c r="AH87" t="str">
        <f t="shared" si="8"/>
        <v>Estd. Patient</v>
      </c>
      <c r="AI87" t="str">
        <f t="shared" si="6"/>
        <v>Little Rock Region</v>
      </c>
    </row>
    <row r="88" spans="1:35" x14ac:dyDescent="0.3">
      <c r="A88" t="s">
        <v>558</v>
      </c>
      <c r="B88" t="s">
        <v>357</v>
      </c>
      <c r="C88" t="s">
        <v>358</v>
      </c>
      <c r="D88" t="s">
        <v>559</v>
      </c>
      <c r="E88" t="s">
        <v>328</v>
      </c>
      <c r="F88" t="s">
        <v>19</v>
      </c>
      <c r="G88" t="s">
        <v>141</v>
      </c>
      <c r="H88" t="s">
        <v>62</v>
      </c>
      <c r="I88" t="s">
        <v>22</v>
      </c>
      <c r="J88" t="s">
        <v>22</v>
      </c>
      <c r="K88" t="s">
        <v>560</v>
      </c>
      <c r="L88" t="s">
        <v>561</v>
      </c>
      <c r="M88" t="s">
        <v>363</v>
      </c>
      <c r="N88" t="s">
        <v>559</v>
      </c>
      <c r="O88" t="s">
        <v>883</v>
      </c>
      <c r="P88" t="str" cm="1">
        <f t="array" ref="P88">_xlfn.IFS(ISNUMBER(SEARCH("AEIC:", O88)), "Arkansas",ISNUMBER(SEARCH("STM:", O88)), "Texas",ISNUMBER(SEARCH("BILLING:", O88)), "Texas",ISNUMBER(SEARCH("AM:", O88)), "Texas",ISNUMBER(SEARCH("ARBlvd:", O88)), "Arkansas",ISNUMBER(SEARCH("Atlanta:", O88)), "Texas",ISNUMBER(SEARCH("Blanchard:", O88)), "Louisiana",ISNUMBER(SEARCH("Bryant:", O88)), "Arkansas",ISNUMBER(SEARCH("Choctaw:", O88)), "Oklahoma",ISNUMBER(SEARCH("Choc Allgy:", O88)), "Oklahoma",ISNUMBER(SEARCH("DeQueen:", O88)), "Arkansas",ISNUMBER(SEARCH("Edmond:", O88)), "Oklahoma",ISNUMBER(SEARCH("Edmd Aller:", O88)), "Oklahoma",ISNUMBER(SEARCH("Imaging:", O88)), "Texas",ISNUMBER(SEARCH("Longview:", O88)), "Texas",ISNUMBER(SEARCH("Marshall:", O88)), "Texas",ISNUMBER(SEARCH("Mar Allerg:", O88)), "Texas",ISNUMBER(SEARCH("Maumelle:", O88)), "Arkansas",ISNUMBER(SEARCH("MWC:", O88)), "Oklahoma",ISNUMBER(SEARCH("MWC Allgy:", O88)), "Oklahoma",ISNUMBER(SEARCH("Moore:", O88)), "Oklahoma",ISNUMBER(SEARCH("MooreAllgy:", O88)), "Oklahoma",ISNUMBER(SEARCH("MtPleasant:", O88)), "Texas",ISNUMBER(SEARCH("OccOffsite:", O88)), "Texas",ISNUMBER(SEARCH("Pain Mgmt:", O88)), "Texas",ISNUMBER(SEARCH("Paris:", O88)), "Texas",ISNUMBER(SEARCH("PT:", O88)), "Texas",ISNUMBER(SEARCH("RR Allergy:", O88)), "Texas",ISNUMBER(SEARCH("Sherwood:", O88)), "Arkansas",ISNUMBER(SEARCH("WV:", O88)), "Texas",ISNUMBER(SEARCH("Nur-Home:", O88)), "Texas",ISNUMBER(SEARCH("THC:", O88)), "Texas",ISNUMBER(SEARCH("WVTC:", O88)), "Texas",ISNUMBER(SEARCH("TSC:", O88)), "Texas",ISNUMBER(SEARCH("V-AR Blvd:", O88)), "Arkansas",ISNUMBER(SEARCH("V-Maumelle:", O88)), "Arkansas",ISNUMBER(SEARCH("V-Atlanta:", O88)), "Texas",ISNUMBER(SEARCH("VBlanchard:", O88)), "Louisiana",ISNUMBER(SEARCH("V-Bryant:", O88)), "Arkansas",ISNUMBER(SEARCH("V-Choctaw:", O88)), "Oklahoma",ISNUMBER(SEARCH("V-DeQueen:", O88)), "Arkansas",ISNUMBER(SEARCH("V-Longview:", O88)), "Texas",ISNUMBER(SEARCH("V-Marshall:", O88)), "Texas",ISNUMBER(SEARCH("V-MWC:", O88)), "Oklahoma",ISNUMBER(SEARCH("V-Moore:", O88)), "Oklahoma",ISNUMBER(SEARCH("V-MP:", O88)), "Texas",ISNUMBER(SEARCH("V-Edmond:", O88)), "Oklahoma",ISNUMBER(SEARCH("V-Paris:", O88)), "Texas",ISNUMBER(SEARCH("V-RR:", O88)), "Texas",ISNUMBER(SEARCH("V-Sherwood:", O88)), "Arkansas",ISNUMBER(SEARCH("V-WV:", O88)), "Texas",ISNUMBER(SEARCH("HealthCARE Express - Richmond Road", O88)), "Texas",ISNUMBER(SEARCH("HealthCARE Express - Occupational Medicine", O88)), "Texas")</f>
        <v>Arkansas</v>
      </c>
      <c r="Q88" t="s">
        <v>841</v>
      </c>
      <c r="R88" t="s">
        <v>882</v>
      </c>
      <c r="S88" t="s">
        <v>328</v>
      </c>
      <c r="T88" t="s">
        <v>848</v>
      </c>
      <c r="U88" t="s">
        <v>873</v>
      </c>
      <c r="AF88" t="str" cm="1">
        <f t="array" ref="AF88">IF(SUMPRODUCT(--ISNUMBER(SEARCH("992",T88:AE88)))&gt;0, "E&amp;M", "No E&amp;M")</f>
        <v>E&amp;M</v>
      </c>
      <c r="AG88" t="str">
        <f t="shared" si="7"/>
        <v>99214</v>
      </c>
      <c r="AH88" t="str">
        <f t="shared" si="8"/>
        <v>Estd. Patient</v>
      </c>
      <c r="AI88" t="str">
        <f t="shared" si="6"/>
        <v>Little Rock Region</v>
      </c>
    </row>
    <row r="89" spans="1:35" x14ac:dyDescent="0.3">
      <c r="A89" t="s">
        <v>562</v>
      </c>
      <c r="B89" t="s">
        <v>357</v>
      </c>
      <c r="C89" t="s">
        <v>358</v>
      </c>
      <c r="D89" t="s">
        <v>563</v>
      </c>
      <c r="E89" t="s">
        <v>564</v>
      </c>
      <c r="F89" t="s">
        <v>19</v>
      </c>
      <c r="G89" t="s">
        <v>565</v>
      </c>
      <c r="H89" t="s">
        <v>22</v>
      </c>
      <c r="I89" t="s">
        <v>22</v>
      </c>
      <c r="J89" t="s">
        <v>22</v>
      </c>
      <c r="K89" t="s">
        <v>565</v>
      </c>
      <c r="L89" t="s">
        <v>566</v>
      </c>
      <c r="M89" t="s">
        <v>363</v>
      </c>
      <c r="N89" t="s">
        <v>563</v>
      </c>
      <c r="O89" t="s">
        <v>883</v>
      </c>
      <c r="P89" t="str" cm="1">
        <f t="array" ref="P89">_xlfn.IFS(ISNUMBER(SEARCH("AEIC:", O89)), "Arkansas",ISNUMBER(SEARCH("STM:", O89)), "Texas",ISNUMBER(SEARCH("BILLING:", O89)), "Texas",ISNUMBER(SEARCH("AM:", O89)), "Texas",ISNUMBER(SEARCH("ARBlvd:", O89)), "Arkansas",ISNUMBER(SEARCH("Atlanta:", O89)), "Texas",ISNUMBER(SEARCH("Blanchard:", O89)), "Louisiana",ISNUMBER(SEARCH("Bryant:", O89)), "Arkansas",ISNUMBER(SEARCH("Choctaw:", O89)), "Oklahoma",ISNUMBER(SEARCH("Choc Allgy:", O89)), "Oklahoma",ISNUMBER(SEARCH("DeQueen:", O89)), "Arkansas",ISNUMBER(SEARCH("Edmond:", O89)), "Oklahoma",ISNUMBER(SEARCH("Edmd Aller:", O89)), "Oklahoma",ISNUMBER(SEARCH("Imaging:", O89)), "Texas",ISNUMBER(SEARCH("Longview:", O89)), "Texas",ISNUMBER(SEARCH("Marshall:", O89)), "Texas",ISNUMBER(SEARCH("Mar Allerg:", O89)), "Texas",ISNUMBER(SEARCH("Maumelle:", O89)), "Arkansas",ISNUMBER(SEARCH("MWC:", O89)), "Oklahoma",ISNUMBER(SEARCH("MWC Allgy:", O89)), "Oklahoma",ISNUMBER(SEARCH("Moore:", O89)), "Oklahoma",ISNUMBER(SEARCH("MooreAllgy:", O89)), "Oklahoma",ISNUMBER(SEARCH("MtPleasant:", O89)), "Texas",ISNUMBER(SEARCH("OccOffsite:", O89)), "Texas",ISNUMBER(SEARCH("Pain Mgmt:", O89)), "Texas",ISNUMBER(SEARCH("Paris:", O89)), "Texas",ISNUMBER(SEARCH("PT:", O89)), "Texas",ISNUMBER(SEARCH("RR Allergy:", O89)), "Texas",ISNUMBER(SEARCH("Sherwood:", O89)), "Arkansas",ISNUMBER(SEARCH("WV:", O89)), "Texas",ISNUMBER(SEARCH("Nur-Home:", O89)), "Texas",ISNUMBER(SEARCH("THC:", O89)), "Texas",ISNUMBER(SEARCH("WVTC:", O89)), "Texas",ISNUMBER(SEARCH("TSC:", O89)), "Texas",ISNUMBER(SEARCH("V-AR Blvd:", O89)), "Arkansas",ISNUMBER(SEARCH("V-Maumelle:", O89)), "Arkansas",ISNUMBER(SEARCH("V-Atlanta:", O89)), "Texas",ISNUMBER(SEARCH("VBlanchard:", O89)), "Louisiana",ISNUMBER(SEARCH("V-Bryant:", O89)), "Arkansas",ISNUMBER(SEARCH("V-Choctaw:", O89)), "Oklahoma",ISNUMBER(SEARCH("V-DeQueen:", O89)), "Arkansas",ISNUMBER(SEARCH("V-Longview:", O89)), "Texas",ISNUMBER(SEARCH("V-Marshall:", O89)), "Texas",ISNUMBER(SEARCH("V-MWC:", O89)), "Oklahoma",ISNUMBER(SEARCH("V-Moore:", O89)), "Oklahoma",ISNUMBER(SEARCH("V-MP:", O89)), "Texas",ISNUMBER(SEARCH("V-Edmond:", O89)), "Oklahoma",ISNUMBER(SEARCH("V-Paris:", O89)), "Texas",ISNUMBER(SEARCH("V-RR:", O89)), "Texas",ISNUMBER(SEARCH("V-Sherwood:", O89)), "Arkansas",ISNUMBER(SEARCH("V-WV:", O89)), "Texas",ISNUMBER(SEARCH("HealthCARE Express - Richmond Road", O89)), "Texas",ISNUMBER(SEARCH("HealthCARE Express - Occupational Medicine", O89)), "Texas")</f>
        <v>Arkansas</v>
      </c>
      <c r="Q89" t="s">
        <v>841</v>
      </c>
      <c r="R89" t="s">
        <v>879</v>
      </c>
      <c r="S89" t="s">
        <v>564</v>
      </c>
      <c r="T89" t="s">
        <v>893</v>
      </c>
      <c r="U89" t="s">
        <v>880</v>
      </c>
      <c r="V89" t="s">
        <v>873</v>
      </c>
      <c r="W89" t="s">
        <v>864</v>
      </c>
      <c r="AF89" t="str" cm="1">
        <f t="array" ref="AF89">IF(SUMPRODUCT(--ISNUMBER(SEARCH("992",T89:AE89)))&gt;0, "E&amp;M", "No E&amp;M")</f>
        <v>E&amp;M</v>
      </c>
      <c r="AG89" t="str">
        <f t="shared" si="7"/>
        <v>99203</v>
      </c>
      <c r="AH89" t="str">
        <f t="shared" si="8"/>
        <v>New Patient</v>
      </c>
      <c r="AI89" t="str">
        <f t="shared" si="6"/>
        <v>Little Rock Region</v>
      </c>
    </row>
    <row r="90" spans="1:35" x14ac:dyDescent="0.3">
      <c r="A90" t="s">
        <v>567</v>
      </c>
      <c r="B90" t="s">
        <v>357</v>
      </c>
      <c r="C90" t="s">
        <v>386</v>
      </c>
      <c r="D90" t="s">
        <v>568</v>
      </c>
      <c r="E90" t="s">
        <v>96</v>
      </c>
      <c r="F90" t="s">
        <v>19</v>
      </c>
      <c r="G90" t="s">
        <v>569</v>
      </c>
      <c r="H90" t="s">
        <v>22</v>
      </c>
      <c r="I90" t="s">
        <v>22</v>
      </c>
      <c r="J90" t="s">
        <v>22</v>
      </c>
      <c r="K90" t="s">
        <v>569</v>
      </c>
      <c r="L90" t="s">
        <v>570</v>
      </c>
      <c r="M90" t="s">
        <v>392</v>
      </c>
      <c r="N90" t="s">
        <v>571</v>
      </c>
      <c r="O90" t="s">
        <v>874</v>
      </c>
      <c r="P90" t="str" cm="1">
        <f t="array" ref="P90">_xlfn.IFS(ISNUMBER(SEARCH("AEIC:", O90)), "Arkansas",ISNUMBER(SEARCH("STM:", O90)), "Texas",ISNUMBER(SEARCH("BILLING:", O90)), "Texas",ISNUMBER(SEARCH("AM:", O90)), "Texas",ISNUMBER(SEARCH("ARBlvd:", O90)), "Arkansas",ISNUMBER(SEARCH("Atlanta:", O90)), "Texas",ISNUMBER(SEARCH("Blanchard:", O90)), "Louisiana",ISNUMBER(SEARCH("Bryant:", O90)), "Arkansas",ISNUMBER(SEARCH("Choctaw:", O90)), "Oklahoma",ISNUMBER(SEARCH("Choc Allgy:", O90)), "Oklahoma",ISNUMBER(SEARCH("DeQueen:", O90)), "Arkansas",ISNUMBER(SEARCH("Edmond:", O90)), "Oklahoma",ISNUMBER(SEARCH("Edmd Aller:", O90)), "Oklahoma",ISNUMBER(SEARCH("Imaging:", O90)), "Texas",ISNUMBER(SEARCH("Longview:", O90)), "Texas",ISNUMBER(SEARCH("Marshall:", O90)), "Texas",ISNUMBER(SEARCH("Mar Allerg:", O90)), "Texas",ISNUMBER(SEARCH("Maumelle:", O90)), "Arkansas",ISNUMBER(SEARCH("MWC:", O90)), "Oklahoma",ISNUMBER(SEARCH("MWC Allgy:", O90)), "Oklahoma",ISNUMBER(SEARCH("Moore:", O90)), "Oklahoma",ISNUMBER(SEARCH("MooreAllgy:", O90)), "Oklahoma",ISNUMBER(SEARCH("MtPleasant:", O90)), "Texas",ISNUMBER(SEARCH("OccOffsite:", O90)), "Texas",ISNUMBER(SEARCH("Pain Mgmt:", O90)), "Texas",ISNUMBER(SEARCH("Paris:", O90)), "Texas",ISNUMBER(SEARCH("PT:", O90)), "Texas",ISNUMBER(SEARCH("RR Allergy:", O90)), "Texas",ISNUMBER(SEARCH("Sherwood:", O90)), "Arkansas",ISNUMBER(SEARCH("WV:", O90)), "Texas",ISNUMBER(SEARCH("Nur-Home:", O90)), "Texas",ISNUMBER(SEARCH("THC:", O90)), "Texas",ISNUMBER(SEARCH("WVTC:", O90)), "Texas",ISNUMBER(SEARCH("TSC:", O90)), "Texas",ISNUMBER(SEARCH("V-AR Blvd:", O90)), "Arkansas",ISNUMBER(SEARCH("V-Maumelle:", O90)), "Arkansas",ISNUMBER(SEARCH("V-Atlanta:", O90)), "Texas",ISNUMBER(SEARCH("VBlanchard:", O90)), "Louisiana",ISNUMBER(SEARCH("V-Bryant:", O90)), "Arkansas",ISNUMBER(SEARCH("V-Choctaw:", O90)), "Oklahoma",ISNUMBER(SEARCH("V-DeQueen:", O90)), "Arkansas",ISNUMBER(SEARCH("V-Longview:", O90)), "Texas",ISNUMBER(SEARCH("V-Marshall:", O90)), "Texas",ISNUMBER(SEARCH("V-MWC:", O90)), "Oklahoma",ISNUMBER(SEARCH("V-Moore:", O90)), "Oklahoma",ISNUMBER(SEARCH("V-MP:", O90)), "Texas",ISNUMBER(SEARCH("V-Edmond:", O90)), "Oklahoma",ISNUMBER(SEARCH("V-Paris:", O90)), "Texas",ISNUMBER(SEARCH("V-RR:", O90)), "Texas",ISNUMBER(SEARCH("V-Sherwood:", O90)), "Arkansas",ISNUMBER(SEARCH("V-WV:", O90)), "Texas",ISNUMBER(SEARCH("HealthCARE Express - Richmond Road", O90)), "Texas",ISNUMBER(SEARCH("HealthCARE Express - Occupational Medicine", O90)), "Texas")</f>
        <v>Arkansas</v>
      </c>
      <c r="Q90" t="s">
        <v>841</v>
      </c>
      <c r="R90" t="s">
        <v>879</v>
      </c>
      <c r="S90" t="s">
        <v>96</v>
      </c>
      <c r="T90" t="s">
        <v>848</v>
      </c>
      <c r="U90" t="s">
        <v>849</v>
      </c>
      <c r="AF90" t="str" cm="1">
        <f t="array" ref="AF90">IF(SUMPRODUCT(--ISNUMBER(SEARCH("992",T90:AE90)))&gt;0, "E&amp;M", "No E&amp;M")</f>
        <v>E&amp;M</v>
      </c>
      <c r="AG90" t="str">
        <f t="shared" si="7"/>
        <v>99214</v>
      </c>
      <c r="AH90" t="str">
        <f t="shared" si="8"/>
        <v>Estd. Patient</v>
      </c>
      <c r="AI90" t="str">
        <f t="shared" si="6"/>
        <v>Little Rock Region</v>
      </c>
    </row>
    <row r="91" spans="1:35" x14ac:dyDescent="0.3">
      <c r="A91" t="s">
        <v>572</v>
      </c>
      <c r="B91" t="s">
        <v>357</v>
      </c>
      <c r="C91" t="s">
        <v>109</v>
      </c>
      <c r="D91" t="s">
        <v>573</v>
      </c>
      <c r="E91" t="s">
        <v>375</v>
      </c>
      <c r="F91" t="s">
        <v>19</v>
      </c>
      <c r="G91" t="s">
        <v>282</v>
      </c>
      <c r="H91" t="s">
        <v>22</v>
      </c>
      <c r="I91" t="s">
        <v>22</v>
      </c>
      <c r="J91" t="s">
        <v>22</v>
      </c>
      <c r="K91" t="s">
        <v>282</v>
      </c>
      <c r="L91" t="s">
        <v>574</v>
      </c>
      <c r="M91" t="s">
        <v>113</v>
      </c>
      <c r="N91" t="s">
        <v>575</v>
      </c>
      <c r="O91" t="s">
        <v>878</v>
      </c>
      <c r="P91" t="str" cm="1">
        <f t="array" ref="P91">_xlfn.IFS(ISNUMBER(SEARCH("AEIC:", O91)), "Arkansas",ISNUMBER(SEARCH("STM:", O91)), "Texas",ISNUMBER(SEARCH("BILLING:", O91)), "Texas",ISNUMBER(SEARCH("AM:", O91)), "Texas",ISNUMBER(SEARCH("ARBlvd:", O91)), "Arkansas",ISNUMBER(SEARCH("Atlanta:", O91)), "Texas",ISNUMBER(SEARCH("Blanchard:", O91)), "Louisiana",ISNUMBER(SEARCH("Bryant:", O91)), "Arkansas",ISNUMBER(SEARCH("Choctaw:", O91)), "Oklahoma",ISNUMBER(SEARCH("Choc Allgy:", O91)), "Oklahoma",ISNUMBER(SEARCH("DeQueen:", O91)), "Arkansas",ISNUMBER(SEARCH("Edmond:", O91)), "Oklahoma",ISNUMBER(SEARCH("Edmd Aller:", O91)), "Oklahoma",ISNUMBER(SEARCH("Imaging:", O91)), "Texas",ISNUMBER(SEARCH("Longview:", O91)), "Texas",ISNUMBER(SEARCH("Marshall:", O91)), "Texas",ISNUMBER(SEARCH("Mar Allerg:", O91)), "Texas",ISNUMBER(SEARCH("Maumelle:", O91)), "Arkansas",ISNUMBER(SEARCH("MWC:", O91)), "Oklahoma",ISNUMBER(SEARCH("MWC Allgy:", O91)), "Oklahoma",ISNUMBER(SEARCH("Moore:", O91)), "Oklahoma",ISNUMBER(SEARCH("MooreAllgy:", O91)), "Oklahoma",ISNUMBER(SEARCH("MtPleasant:", O91)), "Texas",ISNUMBER(SEARCH("OccOffsite:", O91)), "Texas",ISNUMBER(SEARCH("Pain Mgmt:", O91)), "Texas",ISNUMBER(SEARCH("Paris:", O91)), "Texas",ISNUMBER(SEARCH("PT:", O91)), "Texas",ISNUMBER(SEARCH("RR Allergy:", O91)), "Texas",ISNUMBER(SEARCH("Sherwood:", O91)), "Arkansas",ISNUMBER(SEARCH("WV:", O91)), "Texas",ISNUMBER(SEARCH("Nur-Home:", O91)), "Texas",ISNUMBER(SEARCH("THC:", O91)), "Texas",ISNUMBER(SEARCH("WVTC:", O91)), "Texas",ISNUMBER(SEARCH("TSC:", O91)), "Texas",ISNUMBER(SEARCH("V-AR Blvd:", O91)), "Arkansas",ISNUMBER(SEARCH("V-Maumelle:", O91)), "Arkansas",ISNUMBER(SEARCH("V-Atlanta:", O91)), "Texas",ISNUMBER(SEARCH("VBlanchard:", O91)), "Louisiana",ISNUMBER(SEARCH("V-Bryant:", O91)), "Arkansas",ISNUMBER(SEARCH("V-Choctaw:", O91)), "Oklahoma",ISNUMBER(SEARCH("V-DeQueen:", O91)), "Arkansas",ISNUMBER(SEARCH("V-Longview:", O91)), "Texas",ISNUMBER(SEARCH("V-Marshall:", O91)), "Texas",ISNUMBER(SEARCH("V-MWC:", O91)), "Oklahoma",ISNUMBER(SEARCH("V-Moore:", O91)), "Oklahoma",ISNUMBER(SEARCH("V-MP:", O91)), "Texas",ISNUMBER(SEARCH("V-Edmond:", O91)), "Oklahoma",ISNUMBER(SEARCH("V-Paris:", O91)), "Texas",ISNUMBER(SEARCH("V-RR:", O91)), "Texas",ISNUMBER(SEARCH("V-Sherwood:", O91)), "Arkansas",ISNUMBER(SEARCH("V-WV:", O91)), "Texas",ISNUMBER(SEARCH("HealthCARE Express - Richmond Road", O91)), "Texas",ISNUMBER(SEARCH("HealthCARE Express - Occupational Medicine", O91)), "Texas")</f>
        <v>Arkansas</v>
      </c>
      <c r="Q91" t="s">
        <v>841</v>
      </c>
      <c r="R91" t="s">
        <v>872</v>
      </c>
      <c r="S91" t="s">
        <v>375</v>
      </c>
      <c r="T91" t="s">
        <v>848</v>
      </c>
      <c r="U91" t="s">
        <v>880</v>
      </c>
      <c r="V91" t="s">
        <v>873</v>
      </c>
      <c r="W91" t="s">
        <v>864</v>
      </c>
      <c r="AF91" t="str" cm="1">
        <f t="array" ref="AF91">IF(SUMPRODUCT(--ISNUMBER(SEARCH("992",T91:AE91)))&gt;0, "E&amp;M", "No E&amp;M")</f>
        <v>E&amp;M</v>
      </c>
      <c r="AG91" t="str">
        <f t="shared" si="7"/>
        <v>99214</v>
      </c>
      <c r="AH91" t="str">
        <f t="shared" si="8"/>
        <v>Estd. Patient</v>
      </c>
      <c r="AI91" t="str">
        <f t="shared" si="6"/>
        <v>Little Rock Region</v>
      </c>
    </row>
    <row r="92" spans="1:35" x14ac:dyDescent="0.3">
      <c r="A92" t="s">
        <v>576</v>
      </c>
      <c r="B92" t="s">
        <v>357</v>
      </c>
      <c r="C92" t="s">
        <v>386</v>
      </c>
      <c r="D92" t="s">
        <v>577</v>
      </c>
      <c r="E92" t="s">
        <v>554</v>
      </c>
      <c r="F92" t="s">
        <v>19</v>
      </c>
      <c r="G92" t="s">
        <v>440</v>
      </c>
      <c r="H92" t="s">
        <v>62</v>
      </c>
      <c r="I92" t="s">
        <v>22</v>
      </c>
      <c r="J92" t="s">
        <v>22</v>
      </c>
      <c r="K92" t="s">
        <v>508</v>
      </c>
      <c r="L92" t="s">
        <v>578</v>
      </c>
      <c r="M92" t="s">
        <v>392</v>
      </c>
      <c r="N92" t="s">
        <v>577</v>
      </c>
      <c r="O92" t="s">
        <v>874</v>
      </c>
      <c r="P92" t="str" cm="1">
        <f t="array" ref="P92">_xlfn.IFS(ISNUMBER(SEARCH("AEIC:", O92)), "Arkansas",ISNUMBER(SEARCH("STM:", O92)), "Texas",ISNUMBER(SEARCH("BILLING:", O92)), "Texas",ISNUMBER(SEARCH("AM:", O92)), "Texas",ISNUMBER(SEARCH("ARBlvd:", O92)), "Arkansas",ISNUMBER(SEARCH("Atlanta:", O92)), "Texas",ISNUMBER(SEARCH("Blanchard:", O92)), "Louisiana",ISNUMBER(SEARCH("Bryant:", O92)), "Arkansas",ISNUMBER(SEARCH("Choctaw:", O92)), "Oklahoma",ISNUMBER(SEARCH("Choc Allgy:", O92)), "Oklahoma",ISNUMBER(SEARCH("DeQueen:", O92)), "Arkansas",ISNUMBER(SEARCH("Edmond:", O92)), "Oklahoma",ISNUMBER(SEARCH("Edmd Aller:", O92)), "Oklahoma",ISNUMBER(SEARCH("Imaging:", O92)), "Texas",ISNUMBER(SEARCH("Longview:", O92)), "Texas",ISNUMBER(SEARCH("Marshall:", O92)), "Texas",ISNUMBER(SEARCH("Mar Allerg:", O92)), "Texas",ISNUMBER(SEARCH("Maumelle:", O92)), "Arkansas",ISNUMBER(SEARCH("MWC:", O92)), "Oklahoma",ISNUMBER(SEARCH("MWC Allgy:", O92)), "Oklahoma",ISNUMBER(SEARCH("Moore:", O92)), "Oklahoma",ISNUMBER(SEARCH("MooreAllgy:", O92)), "Oklahoma",ISNUMBER(SEARCH("MtPleasant:", O92)), "Texas",ISNUMBER(SEARCH("OccOffsite:", O92)), "Texas",ISNUMBER(SEARCH("Pain Mgmt:", O92)), "Texas",ISNUMBER(SEARCH("Paris:", O92)), "Texas",ISNUMBER(SEARCH("PT:", O92)), "Texas",ISNUMBER(SEARCH("RR Allergy:", O92)), "Texas",ISNUMBER(SEARCH("Sherwood:", O92)), "Arkansas",ISNUMBER(SEARCH("WV:", O92)), "Texas",ISNUMBER(SEARCH("Nur-Home:", O92)), "Texas",ISNUMBER(SEARCH("THC:", O92)), "Texas",ISNUMBER(SEARCH("WVTC:", O92)), "Texas",ISNUMBER(SEARCH("TSC:", O92)), "Texas",ISNUMBER(SEARCH("V-AR Blvd:", O92)), "Arkansas",ISNUMBER(SEARCH("V-Maumelle:", O92)), "Arkansas",ISNUMBER(SEARCH("V-Atlanta:", O92)), "Texas",ISNUMBER(SEARCH("VBlanchard:", O92)), "Louisiana",ISNUMBER(SEARCH("V-Bryant:", O92)), "Arkansas",ISNUMBER(SEARCH("V-Choctaw:", O92)), "Oklahoma",ISNUMBER(SEARCH("V-DeQueen:", O92)), "Arkansas",ISNUMBER(SEARCH("V-Longview:", O92)), "Texas",ISNUMBER(SEARCH("V-Marshall:", O92)), "Texas",ISNUMBER(SEARCH("V-MWC:", O92)), "Oklahoma",ISNUMBER(SEARCH("V-Moore:", O92)), "Oklahoma",ISNUMBER(SEARCH("V-MP:", O92)), "Texas",ISNUMBER(SEARCH("V-Edmond:", O92)), "Oklahoma",ISNUMBER(SEARCH("V-Paris:", O92)), "Texas",ISNUMBER(SEARCH("V-RR:", O92)), "Texas",ISNUMBER(SEARCH("V-Sherwood:", O92)), "Arkansas",ISNUMBER(SEARCH("V-WV:", O92)), "Texas",ISNUMBER(SEARCH("HealthCARE Express - Richmond Road", O92)), "Texas",ISNUMBER(SEARCH("HealthCARE Express - Occupational Medicine", O92)), "Texas")</f>
        <v>Arkansas</v>
      </c>
      <c r="Q92" t="s">
        <v>841</v>
      </c>
      <c r="R92" t="s">
        <v>868</v>
      </c>
      <c r="S92" t="s">
        <v>554</v>
      </c>
      <c r="T92" t="s">
        <v>848</v>
      </c>
      <c r="AF92" t="str" cm="1">
        <f t="array" ref="AF92">IF(SUMPRODUCT(--ISNUMBER(SEARCH("992",T92:AE92)))&gt;0, "E&amp;M", "No E&amp;M")</f>
        <v>E&amp;M</v>
      </c>
      <c r="AG92" t="str">
        <f t="shared" si="7"/>
        <v>99214</v>
      </c>
      <c r="AH92" t="str">
        <f t="shared" si="8"/>
        <v>Estd. Patient</v>
      </c>
      <c r="AI92" t="str">
        <f t="shared" si="6"/>
        <v>Little Rock Region</v>
      </c>
    </row>
    <row r="93" spans="1:35" x14ac:dyDescent="0.3">
      <c r="A93" t="s">
        <v>579</v>
      </c>
      <c r="B93" t="s">
        <v>357</v>
      </c>
      <c r="C93" t="s">
        <v>154</v>
      </c>
      <c r="D93" t="s">
        <v>580</v>
      </c>
      <c r="E93" t="s">
        <v>581</v>
      </c>
      <c r="F93" t="s">
        <v>19</v>
      </c>
      <c r="G93" t="s">
        <v>262</v>
      </c>
      <c r="H93" t="s">
        <v>22</v>
      </c>
      <c r="I93" t="s">
        <v>22</v>
      </c>
      <c r="J93" t="s">
        <v>22</v>
      </c>
      <c r="K93" t="s">
        <v>262</v>
      </c>
      <c r="L93" t="s">
        <v>582</v>
      </c>
      <c r="M93" t="s">
        <v>158</v>
      </c>
      <c r="N93" t="s">
        <v>583</v>
      </c>
      <c r="O93" t="s">
        <v>891</v>
      </c>
      <c r="P93" t="str" cm="1">
        <f t="array" ref="P93">_xlfn.IFS(ISNUMBER(SEARCH("AEIC:", O93)), "Arkansas",ISNUMBER(SEARCH("STM:", O93)), "Texas",ISNUMBER(SEARCH("BILLING:", O93)), "Texas",ISNUMBER(SEARCH("AM:", O93)), "Texas",ISNUMBER(SEARCH("ARBlvd:", O93)), "Arkansas",ISNUMBER(SEARCH("Atlanta:", O93)), "Texas",ISNUMBER(SEARCH("Blanchard:", O93)), "Louisiana",ISNUMBER(SEARCH("Bryant:", O93)), "Arkansas",ISNUMBER(SEARCH("Choctaw:", O93)), "Oklahoma",ISNUMBER(SEARCH("Choc Allgy:", O93)), "Oklahoma",ISNUMBER(SEARCH("DeQueen:", O93)), "Arkansas",ISNUMBER(SEARCH("Edmond:", O93)), "Oklahoma",ISNUMBER(SEARCH("Edmd Aller:", O93)), "Oklahoma",ISNUMBER(SEARCH("Imaging:", O93)), "Texas",ISNUMBER(SEARCH("Longview:", O93)), "Texas",ISNUMBER(SEARCH("Marshall:", O93)), "Texas",ISNUMBER(SEARCH("Mar Allerg:", O93)), "Texas",ISNUMBER(SEARCH("Maumelle:", O93)), "Arkansas",ISNUMBER(SEARCH("MWC:", O93)), "Oklahoma",ISNUMBER(SEARCH("MWC Allgy:", O93)), "Oklahoma",ISNUMBER(SEARCH("Moore:", O93)), "Oklahoma",ISNUMBER(SEARCH("MooreAllgy:", O93)), "Oklahoma",ISNUMBER(SEARCH("MtPleasant:", O93)), "Texas",ISNUMBER(SEARCH("OccOffsite:", O93)), "Texas",ISNUMBER(SEARCH("Pain Mgmt:", O93)), "Texas",ISNUMBER(SEARCH("Paris:", O93)), "Texas",ISNUMBER(SEARCH("PT:", O93)), "Texas",ISNUMBER(SEARCH("RR Allergy:", O93)), "Texas",ISNUMBER(SEARCH("Sherwood:", O93)), "Arkansas",ISNUMBER(SEARCH("WV:", O93)), "Texas",ISNUMBER(SEARCH("Nur-Home:", O93)), "Texas",ISNUMBER(SEARCH("THC:", O93)), "Texas",ISNUMBER(SEARCH("WVTC:", O93)), "Texas",ISNUMBER(SEARCH("TSC:", O93)), "Texas",ISNUMBER(SEARCH("V-AR Blvd:", O93)), "Arkansas",ISNUMBER(SEARCH("V-Maumelle:", O93)), "Arkansas",ISNUMBER(SEARCH("V-Atlanta:", O93)), "Texas",ISNUMBER(SEARCH("VBlanchard:", O93)), "Louisiana",ISNUMBER(SEARCH("V-Bryant:", O93)), "Arkansas",ISNUMBER(SEARCH("V-Choctaw:", O93)), "Oklahoma",ISNUMBER(SEARCH("V-DeQueen:", O93)), "Arkansas",ISNUMBER(SEARCH("V-Longview:", O93)), "Texas",ISNUMBER(SEARCH("V-Marshall:", O93)), "Texas",ISNUMBER(SEARCH("V-MWC:", O93)), "Oklahoma",ISNUMBER(SEARCH("V-Moore:", O93)), "Oklahoma",ISNUMBER(SEARCH("V-MP:", O93)), "Texas",ISNUMBER(SEARCH("V-Edmond:", O93)), "Oklahoma",ISNUMBER(SEARCH("V-Paris:", O93)), "Texas",ISNUMBER(SEARCH("V-RR:", O93)), "Texas",ISNUMBER(SEARCH("V-Sherwood:", O93)), "Arkansas",ISNUMBER(SEARCH("V-WV:", O93)), "Texas",ISNUMBER(SEARCH("HealthCARE Express - Richmond Road", O93)), "Texas",ISNUMBER(SEARCH("HealthCARE Express - Occupational Medicine", O93)), "Texas")</f>
        <v>Texas</v>
      </c>
      <c r="Q93" t="s">
        <v>841</v>
      </c>
      <c r="R93" t="s">
        <v>892</v>
      </c>
      <c r="S93" t="s">
        <v>581</v>
      </c>
      <c r="T93" t="s">
        <v>893</v>
      </c>
      <c r="U93" t="s">
        <v>894</v>
      </c>
      <c r="V93" t="s">
        <v>924</v>
      </c>
      <c r="W93" t="s">
        <v>925</v>
      </c>
      <c r="X93" t="s">
        <v>895</v>
      </c>
      <c r="AF93" t="str" cm="1">
        <f t="array" ref="AF93">IF(SUMPRODUCT(--ISNUMBER(SEARCH("992",T93:AE93)))&gt;0, "E&amp;M", "No E&amp;M")</f>
        <v>E&amp;M</v>
      </c>
      <c r="AG93" t="str">
        <f t="shared" si="7"/>
        <v>99203</v>
      </c>
      <c r="AH93" t="str">
        <f t="shared" si="8"/>
        <v>New Patient</v>
      </c>
      <c r="AI93" t="str">
        <f t="shared" ref="AI93:AI124" si="9">IF(ISNUMBER(SEARCH("McCrary, D",M93)),"Age Management",IF(ISNUMBER(SEARCH("Stanley, R",M93)),"Age Management",IF(ISNUMBER(SEARCH("Garner, P",M93)),"Little Rock Region",IF(ISNUMBER(SEARCH("Golden, C",M93)),"Little Rock Region",IF(ISNUMBER(SEARCH("Kordsmeier, E",M93)),"Little Rock Region",IF(ISNUMBER(SEARCH("Martin, S",M93)),"Little Rock Region",IF(ISNUMBER(SEARCH("Terrell III, R",M93)),"Little Rock Region",IF(ISNUMBER(SEARCH("Waheed, I",M93)),"Little Rock Region",IF(ISNUMBER(SEARCH("Whitwell, B",M93)),"Little Rock Region",IF(ISNUMBER(SEARCH("Anderson, R",M93)),"Oklahoma",IF(ISNUMBER(SEARCH("Baker, S",M93)),"Oklahoma",IF(ISNUMBER(SEARCH("Bishop, K",M93)),"Oklahoma",IF(ISNUMBER(SEARCH("Davis, C",M93)),"Oklahoma",IF(ISNUMBER(SEARCH("Harrison, J",M93)),"Oklahoma",IF(ISNUMBER(SEARCH("Orico, L",M93)),"Oklahoma",IF(ISNUMBER(SEARCH("Richardson, M",M93)),"Oklahoma",IF(ISNUMBER(SEARCH("Schmiedel, I",M93)),"Oklahoma",IF(ISNUMBER(SEARCH("Sitton, L",M93)),"Oklahoma",IF(ISNUMBER(SEARCH("Smith, C",M93)),"Oklahoma",IF(ISNUMBER(SEARCH("Wenner, T",M93)),"Oklahoma",IF(ISNUMBER(SEARCH("Wright, M",M93)),"Oklahoma",IF(ISNUMBER(SEARCH("Young, R",M93)),"Oklahoma",IF(ISNUMBER(SEARCH("Ayers, A",M93)),"Texas/La/DQ/Ark Blvd",IF(ISNUMBER(SEARCH("Ayers, R",M93)),"Texas/La/DQ/Ark Blvd",IF(ISNUMBER(SEARCH("Bailey, J",M93)),"Texas/La/DQ/Ark Blvd",IF(ISNUMBER(SEARCH("Bennett, C",M93)),"Texas/La/DQ/Ark Blvd",IF(ISNUMBER(SEARCH("Bevill, T",M93)),"Texas/La/DQ/Ark Blvd",IF(ISNUMBER(SEARCH("Bowen, A",M93)),"Texas/La/DQ/Ark Blvd",IF(ISNUMBER(SEARCH("Brandon, M",M93)),"Texas/La/DQ/Ark Blvd",IF(ISNUMBER(SEARCH("Browning, J",M93)),"Texas/La/DQ/Ark Blvd",IF(ISNUMBER(SEARCH("Butts, P",M93)),"Texas/La/DQ/Ark Blvd",IF(ISNUMBER(SEARCH("Caltrider, D",M93)),"Texas/La/DQ/Ark Blvd",IF(ISNUMBER(SEARCH("Colbert, S",M93)),"Texas/La/DQ/Ark Blvd",IF(ISNUMBER(SEARCH("Coyle, H",M93)),"Texas/La/DQ/Ark Blvd",IF(ISNUMBER(SEARCH("Crouthamel, M",M93)),"Texas/La/DQ/Ark Blvd",IF(ISNUMBER(SEARCH("Culbertson, J",M93)),"Texas/La/DQ/Ark Blvd",IF(ISNUMBER(SEARCH("Dailey, S",M93)),"Texas/La/DQ/Ark Blvd",IF(ISNUMBER(SEARCH("Donnelly, S",M93)),"Texas/La/DQ/Ark Blvd",IF(ISNUMBER(SEARCH("Foltz, S",M93)),"Texas/La/DQ/Ark Blvd",IF(ISNUMBER(SEARCH("Foltz, T",M93)),"Texas/La/DQ/Ark Blvd",IF(ISNUMBER(SEARCH("Gallegos, C",M93)),"Texas/La/DQ/Ark Blvd",IF(ISNUMBER(SEARCH("Green, K",M93)),"Texas/La/DQ/Ark Blvd",IF(ISNUMBER(SEARCH("Griffin, P",M93)),"Texas/La/DQ/Ark Blvd",IF(ISNUMBER(SEARCH("Hawthorne, R",M93)),"Texas/La/DQ/Ark Blvd",IF(ISNUMBER(SEARCH("Hickey, P",M93)),"Texas/La/DQ/Ark Blvd",IF(ISNUMBER(SEARCH("Hunter, B",M93)),"Texas/La/DQ/Ark Blvd",IF(ISNUMBER(SEARCH("Hutson, D",M93)),"Texas/La/DQ/Ark Blvd",IF(ISNUMBER(SEARCH("Johnson, B",M93)),"Texas/La/DQ/Ark Blvd",IF(ISNUMBER(SEARCH("McCann, K",M93)),"Texas/La/DQ/Ark Blvd",IF(ISNUMBER(SEARCH("Meredith, P",M93)),"Texas/La/DQ/Ark Blvd",IF(ISNUMBER(SEARCH("Mitchell, J",M93)),"Texas/La/DQ/Ark Blvd",IF(ISNUMBER(SEARCH("Pounds, T",M93)),"Texas/La/DQ/Ark Blvd",IF(ISNUMBER(SEARCH("Redden, K",M93)),"Texas/La/DQ/Ark Blvd",IF(ISNUMBER(SEARCH("Redden, M",M93)),"Texas/La/DQ/Ark Blvd",IF(ISNUMBER(SEARCH("Reynolds, S",M93)),"Texas/La/DQ/Ark Blvd",IF(ISNUMBER(SEARCH("Rolon, K",M93)),"Texas/La/DQ/Ark Blvd",IF(ISNUMBER(SEARCH("Rowe, J",M93)),"Texas/La/DQ/Ark Blvd",IF(ISNUMBER(SEARCH("Russette, R",M93)),"Texas/La/DQ/Ark Blvd",IF(ISNUMBER(SEARCH("West, S",M93)),"Texas/La/DQ/Ark Blvd",IF(ISNUMBER(SEARCH("Burch, J",M93)),"Workers Comp",IF(ISNUMBER(SEARCH("Traylor, T",M93)),"Workers Comp",IF(ISNUMBER(SEARCH("Walls, G",M93)),"Workers Comp","-"))))))))))))))))))))))))))))))))))))))))))))))))))))))))))))))</f>
        <v>Workers Comp</v>
      </c>
    </row>
    <row r="94" spans="1:35" x14ac:dyDescent="0.3">
      <c r="A94" t="s">
        <v>584</v>
      </c>
      <c r="B94" t="s">
        <v>357</v>
      </c>
      <c r="C94" t="s">
        <v>358</v>
      </c>
      <c r="D94" t="s">
        <v>585</v>
      </c>
      <c r="E94" t="s">
        <v>554</v>
      </c>
      <c r="F94" t="s">
        <v>19</v>
      </c>
      <c r="G94" t="s">
        <v>46</v>
      </c>
      <c r="H94" t="s">
        <v>98</v>
      </c>
      <c r="I94" t="s">
        <v>22</v>
      </c>
      <c r="J94" t="s">
        <v>22</v>
      </c>
      <c r="K94" t="s">
        <v>586</v>
      </c>
      <c r="L94" t="s">
        <v>587</v>
      </c>
      <c r="M94" t="s">
        <v>363</v>
      </c>
      <c r="N94" t="s">
        <v>588</v>
      </c>
      <c r="O94" t="s">
        <v>883</v>
      </c>
      <c r="P94" t="str" cm="1">
        <f t="array" ref="P94">_xlfn.IFS(ISNUMBER(SEARCH("AEIC:", O94)), "Arkansas",ISNUMBER(SEARCH("STM:", O94)), "Texas",ISNUMBER(SEARCH("BILLING:", O94)), "Texas",ISNUMBER(SEARCH("AM:", O94)), "Texas",ISNUMBER(SEARCH("ARBlvd:", O94)), "Arkansas",ISNUMBER(SEARCH("Atlanta:", O94)), "Texas",ISNUMBER(SEARCH("Blanchard:", O94)), "Louisiana",ISNUMBER(SEARCH("Bryant:", O94)), "Arkansas",ISNUMBER(SEARCH("Choctaw:", O94)), "Oklahoma",ISNUMBER(SEARCH("Choc Allgy:", O94)), "Oklahoma",ISNUMBER(SEARCH("DeQueen:", O94)), "Arkansas",ISNUMBER(SEARCH("Edmond:", O94)), "Oklahoma",ISNUMBER(SEARCH("Edmd Aller:", O94)), "Oklahoma",ISNUMBER(SEARCH("Imaging:", O94)), "Texas",ISNUMBER(SEARCH("Longview:", O94)), "Texas",ISNUMBER(SEARCH("Marshall:", O94)), "Texas",ISNUMBER(SEARCH("Mar Allerg:", O94)), "Texas",ISNUMBER(SEARCH("Maumelle:", O94)), "Arkansas",ISNUMBER(SEARCH("MWC:", O94)), "Oklahoma",ISNUMBER(SEARCH("MWC Allgy:", O94)), "Oklahoma",ISNUMBER(SEARCH("Moore:", O94)), "Oklahoma",ISNUMBER(SEARCH("MooreAllgy:", O94)), "Oklahoma",ISNUMBER(SEARCH("MtPleasant:", O94)), "Texas",ISNUMBER(SEARCH("OccOffsite:", O94)), "Texas",ISNUMBER(SEARCH("Pain Mgmt:", O94)), "Texas",ISNUMBER(SEARCH("Paris:", O94)), "Texas",ISNUMBER(SEARCH("PT:", O94)), "Texas",ISNUMBER(SEARCH("RR Allergy:", O94)), "Texas",ISNUMBER(SEARCH("Sherwood:", O94)), "Arkansas",ISNUMBER(SEARCH("WV:", O94)), "Texas",ISNUMBER(SEARCH("Nur-Home:", O94)), "Texas",ISNUMBER(SEARCH("THC:", O94)), "Texas",ISNUMBER(SEARCH("WVTC:", O94)), "Texas",ISNUMBER(SEARCH("TSC:", O94)), "Texas",ISNUMBER(SEARCH("V-AR Blvd:", O94)), "Arkansas",ISNUMBER(SEARCH("V-Maumelle:", O94)), "Arkansas",ISNUMBER(SEARCH("V-Atlanta:", O94)), "Texas",ISNUMBER(SEARCH("VBlanchard:", O94)), "Louisiana",ISNUMBER(SEARCH("V-Bryant:", O94)), "Arkansas",ISNUMBER(SEARCH("V-Choctaw:", O94)), "Oklahoma",ISNUMBER(SEARCH("V-DeQueen:", O94)), "Arkansas",ISNUMBER(SEARCH("V-Longview:", O94)), "Texas",ISNUMBER(SEARCH("V-Marshall:", O94)), "Texas",ISNUMBER(SEARCH("V-MWC:", O94)), "Oklahoma",ISNUMBER(SEARCH("V-Moore:", O94)), "Oklahoma",ISNUMBER(SEARCH("V-MP:", O94)), "Texas",ISNUMBER(SEARCH("V-Edmond:", O94)), "Oklahoma",ISNUMBER(SEARCH("V-Paris:", O94)), "Texas",ISNUMBER(SEARCH("V-RR:", O94)), "Texas",ISNUMBER(SEARCH("V-Sherwood:", O94)), "Arkansas",ISNUMBER(SEARCH("V-WV:", O94)), "Texas",ISNUMBER(SEARCH("HealthCARE Express - Richmond Road", O94)), "Texas",ISNUMBER(SEARCH("HealthCARE Express - Occupational Medicine", O94)), "Texas")</f>
        <v>Arkansas</v>
      </c>
      <c r="Q94" t="s">
        <v>841</v>
      </c>
      <c r="R94" t="s">
        <v>868</v>
      </c>
      <c r="S94" t="s">
        <v>554</v>
      </c>
      <c r="T94" t="s">
        <v>857</v>
      </c>
      <c r="AF94" t="str" cm="1">
        <f t="array" ref="AF94">IF(SUMPRODUCT(--ISNUMBER(SEARCH("992",T94:AE94)))&gt;0, "E&amp;M", "No E&amp;M")</f>
        <v>E&amp;M</v>
      </c>
      <c r="AG94" t="str">
        <f t="shared" si="7"/>
        <v>99204</v>
      </c>
      <c r="AH94" t="str">
        <f t="shared" si="8"/>
        <v>New Patient</v>
      </c>
      <c r="AI94" t="str">
        <f t="shared" si="9"/>
        <v>Little Rock Region</v>
      </c>
    </row>
    <row r="95" spans="1:35" x14ac:dyDescent="0.3">
      <c r="A95" t="s">
        <v>589</v>
      </c>
      <c r="B95" t="s">
        <v>357</v>
      </c>
      <c r="C95" t="s">
        <v>109</v>
      </c>
      <c r="D95" t="s">
        <v>590</v>
      </c>
      <c r="E95" t="s">
        <v>421</v>
      </c>
      <c r="F95" t="s">
        <v>19</v>
      </c>
      <c r="G95" t="s">
        <v>274</v>
      </c>
      <c r="H95" t="s">
        <v>62</v>
      </c>
      <c r="I95" t="s">
        <v>22</v>
      </c>
      <c r="J95" t="s">
        <v>22</v>
      </c>
      <c r="K95" t="s">
        <v>555</v>
      </c>
      <c r="L95" t="s">
        <v>591</v>
      </c>
      <c r="M95" t="s">
        <v>113</v>
      </c>
      <c r="N95" t="s">
        <v>592</v>
      </c>
      <c r="O95" t="s">
        <v>878</v>
      </c>
      <c r="P95" t="str" cm="1">
        <f t="array" ref="P95">_xlfn.IFS(ISNUMBER(SEARCH("AEIC:", O95)), "Arkansas",ISNUMBER(SEARCH("STM:", O95)), "Texas",ISNUMBER(SEARCH("BILLING:", O95)), "Texas",ISNUMBER(SEARCH("AM:", O95)), "Texas",ISNUMBER(SEARCH("ARBlvd:", O95)), "Arkansas",ISNUMBER(SEARCH("Atlanta:", O95)), "Texas",ISNUMBER(SEARCH("Blanchard:", O95)), "Louisiana",ISNUMBER(SEARCH("Bryant:", O95)), "Arkansas",ISNUMBER(SEARCH("Choctaw:", O95)), "Oklahoma",ISNUMBER(SEARCH("Choc Allgy:", O95)), "Oklahoma",ISNUMBER(SEARCH("DeQueen:", O95)), "Arkansas",ISNUMBER(SEARCH("Edmond:", O95)), "Oklahoma",ISNUMBER(SEARCH("Edmd Aller:", O95)), "Oklahoma",ISNUMBER(SEARCH("Imaging:", O95)), "Texas",ISNUMBER(SEARCH("Longview:", O95)), "Texas",ISNUMBER(SEARCH("Marshall:", O95)), "Texas",ISNUMBER(SEARCH("Mar Allerg:", O95)), "Texas",ISNUMBER(SEARCH("Maumelle:", O95)), "Arkansas",ISNUMBER(SEARCH("MWC:", O95)), "Oklahoma",ISNUMBER(SEARCH("MWC Allgy:", O95)), "Oklahoma",ISNUMBER(SEARCH("Moore:", O95)), "Oklahoma",ISNUMBER(SEARCH("MooreAllgy:", O95)), "Oklahoma",ISNUMBER(SEARCH("MtPleasant:", O95)), "Texas",ISNUMBER(SEARCH("OccOffsite:", O95)), "Texas",ISNUMBER(SEARCH("Pain Mgmt:", O95)), "Texas",ISNUMBER(SEARCH("Paris:", O95)), "Texas",ISNUMBER(SEARCH("PT:", O95)), "Texas",ISNUMBER(SEARCH("RR Allergy:", O95)), "Texas",ISNUMBER(SEARCH("Sherwood:", O95)), "Arkansas",ISNUMBER(SEARCH("WV:", O95)), "Texas",ISNUMBER(SEARCH("Nur-Home:", O95)), "Texas",ISNUMBER(SEARCH("THC:", O95)), "Texas",ISNUMBER(SEARCH("WVTC:", O95)), "Texas",ISNUMBER(SEARCH("TSC:", O95)), "Texas",ISNUMBER(SEARCH("V-AR Blvd:", O95)), "Arkansas",ISNUMBER(SEARCH("V-Maumelle:", O95)), "Arkansas",ISNUMBER(SEARCH("V-Atlanta:", O95)), "Texas",ISNUMBER(SEARCH("VBlanchard:", O95)), "Louisiana",ISNUMBER(SEARCH("V-Bryant:", O95)), "Arkansas",ISNUMBER(SEARCH("V-Choctaw:", O95)), "Oklahoma",ISNUMBER(SEARCH("V-DeQueen:", O95)), "Arkansas",ISNUMBER(SEARCH("V-Longview:", O95)), "Texas",ISNUMBER(SEARCH("V-Marshall:", O95)), "Texas",ISNUMBER(SEARCH("V-MWC:", O95)), "Oklahoma",ISNUMBER(SEARCH("V-Moore:", O95)), "Oklahoma",ISNUMBER(SEARCH("V-MP:", O95)), "Texas",ISNUMBER(SEARCH("V-Edmond:", O95)), "Oklahoma",ISNUMBER(SEARCH("V-Paris:", O95)), "Texas",ISNUMBER(SEARCH("V-RR:", O95)), "Texas",ISNUMBER(SEARCH("V-Sherwood:", O95)), "Arkansas",ISNUMBER(SEARCH("V-WV:", O95)), "Texas",ISNUMBER(SEARCH("HealthCARE Express - Richmond Road", O95)), "Texas",ISNUMBER(SEARCH("HealthCARE Express - Occupational Medicine", O95)), "Texas")</f>
        <v>Arkansas</v>
      </c>
      <c r="Q95" t="s">
        <v>841</v>
      </c>
      <c r="R95" t="s">
        <v>868</v>
      </c>
      <c r="S95" t="s">
        <v>421</v>
      </c>
      <c r="T95" t="s">
        <v>848</v>
      </c>
      <c r="U95" t="s">
        <v>864</v>
      </c>
      <c r="AF95" t="str" cm="1">
        <f t="array" ref="AF95">IF(SUMPRODUCT(--ISNUMBER(SEARCH("992",T95:AE95)))&gt;0, "E&amp;M", "No E&amp;M")</f>
        <v>E&amp;M</v>
      </c>
      <c r="AG95" t="str">
        <f t="shared" si="7"/>
        <v>99214</v>
      </c>
      <c r="AH95" t="str">
        <f t="shared" si="8"/>
        <v>Estd. Patient</v>
      </c>
      <c r="AI95" t="str">
        <f t="shared" si="9"/>
        <v>Little Rock Region</v>
      </c>
    </row>
    <row r="96" spans="1:35" x14ac:dyDescent="0.3">
      <c r="A96" t="s">
        <v>593</v>
      </c>
      <c r="B96" t="s">
        <v>357</v>
      </c>
      <c r="C96" t="s">
        <v>532</v>
      </c>
      <c r="D96" t="s">
        <v>594</v>
      </c>
      <c r="E96" t="s">
        <v>595</v>
      </c>
      <c r="F96" t="s">
        <v>19</v>
      </c>
      <c r="G96" t="s">
        <v>22</v>
      </c>
      <c r="H96" t="s">
        <v>22</v>
      </c>
      <c r="I96" t="s">
        <v>22</v>
      </c>
      <c r="J96" t="s">
        <v>22</v>
      </c>
      <c r="K96" t="s">
        <v>22</v>
      </c>
      <c r="L96" t="s">
        <v>596</v>
      </c>
      <c r="M96" t="s">
        <v>597</v>
      </c>
      <c r="N96" t="s">
        <v>594</v>
      </c>
      <c r="O96" t="s">
        <v>931</v>
      </c>
      <c r="P96" t="str" cm="1">
        <f t="array" ref="P96">_xlfn.IFS(ISNUMBER(SEARCH("AEIC:", O96)), "Arkansas",ISNUMBER(SEARCH("STM:", O96)), "Texas",ISNUMBER(SEARCH("BILLING:", O96)), "Texas",ISNUMBER(SEARCH("AM:", O96)), "Texas",ISNUMBER(SEARCH("ARBlvd:", O96)), "Arkansas",ISNUMBER(SEARCH("Atlanta:", O96)), "Texas",ISNUMBER(SEARCH("Blanchard:", O96)), "Louisiana",ISNUMBER(SEARCH("Bryant:", O96)), "Arkansas",ISNUMBER(SEARCH("Choctaw:", O96)), "Oklahoma",ISNUMBER(SEARCH("Choc Allgy:", O96)), "Oklahoma",ISNUMBER(SEARCH("DeQueen:", O96)), "Arkansas",ISNUMBER(SEARCH("Edmond:", O96)), "Oklahoma",ISNUMBER(SEARCH("Edmd Aller:", O96)), "Oklahoma",ISNUMBER(SEARCH("Imaging:", O96)), "Texas",ISNUMBER(SEARCH("Longview:", O96)), "Texas",ISNUMBER(SEARCH("Marshall:", O96)), "Texas",ISNUMBER(SEARCH("Mar Allerg:", O96)), "Texas",ISNUMBER(SEARCH("Maumelle:", O96)), "Arkansas",ISNUMBER(SEARCH("MWC:", O96)), "Oklahoma",ISNUMBER(SEARCH("MWC Allgy:", O96)), "Oklahoma",ISNUMBER(SEARCH("Moore:", O96)), "Oklahoma",ISNUMBER(SEARCH("MooreAllgy:", O96)), "Oklahoma",ISNUMBER(SEARCH("MtPleasant:", O96)), "Texas",ISNUMBER(SEARCH("OccOffsite:", O96)), "Texas",ISNUMBER(SEARCH("Pain Mgmt:", O96)), "Texas",ISNUMBER(SEARCH("Paris:", O96)), "Texas",ISNUMBER(SEARCH("PT:", O96)), "Texas",ISNUMBER(SEARCH("RR Allergy:", O96)), "Texas",ISNUMBER(SEARCH("Sherwood:", O96)), "Arkansas",ISNUMBER(SEARCH("WV:", O96)), "Texas",ISNUMBER(SEARCH("Nur-Home:", O96)), "Texas",ISNUMBER(SEARCH("THC:", O96)), "Texas",ISNUMBER(SEARCH("WVTC:", O96)), "Texas",ISNUMBER(SEARCH("TSC:", O96)), "Texas",ISNUMBER(SEARCH("V-AR Blvd:", O96)), "Arkansas",ISNUMBER(SEARCH("V-Maumelle:", O96)), "Arkansas",ISNUMBER(SEARCH("V-Atlanta:", O96)), "Texas",ISNUMBER(SEARCH("VBlanchard:", O96)), "Louisiana",ISNUMBER(SEARCH("V-Bryant:", O96)), "Arkansas",ISNUMBER(SEARCH("V-Choctaw:", O96)), "Oklahoma",ISNUMBER(SEARCH("V-DeQueen:", O96)), "Arkansas",ISNUMBER(SEARCH("V-Longview:", O96)), "Texas",ISNUMBER(SEARCH("V-Marshall:", O96)), "Texas",ISNUMBER(SEARCH("V-MWC:", O96)), "Oklahoma",ISNUMBER(SEARCH("V-Moore:", O96)), "Oklahoma",ISNUMBER(SEARCH("V-MP:", O96)), "Texas",ISNUMBER(SEARCH("V-Edmond:", O96)), "Oklahoma",ISNUMBER(SEARCH("V-Paris:", O96)), "Texas",ISNUMBER(SEARCH("V-RR:", O96)), "Texas",ISNUMBER(SEARCH("V-Sherwood:", O96)), "Arkansas",ISNUMBER(SEARCH("V-WV:", O96)), "Texas",ISNUMBER(SEARCH("HealthCARE Express - Richmond Road", O96)), "Texas",ISNUMBER(SEARCH("HealthCARE Express - Occupational Medicine", O96)), "Texas")</f>
        <v>Oklahoma</v>
      </c>
      <c r="Q96" t="s">
        <v>841</v>
      </c>
      <c r="R96" t="s">
        <v>532</v>
      </c>
      <c r="S96" t="s">
        <v>595</v>
      </c>
      <c r="AF96" t="str" cm="1">
        <f t="array" ref="AF96">IF(SUMPRODUCT(--ISNUMBER(SEARCH("992",T96:AE96)))&gt;0, "E&amp;M", "No E&amp;M")</f>
        <v>No E&amp;M</v>
      </c>
      <c r="AG96" t="str">
        <f t="shared" si="7"/>
        <v>No E&amp;M</v>
      </c>
      <c r="AH96" t="str">
        <f t="shared" si="8"/>
        <v>No E&amp;M</v>
      </c>
      <c r="AI96" t="str">
        <f t="shared" si="9"/>
        <v>-</v>
      </c>
    </row>
    <row r="97" spans="1:35" x14ac:dyDescent="0.3">
      <c r="A97" t="s">
        <v>598</v>
      </c>
      <c r="B97" t="s">
        <v>357</v>
      </c>
      <c r="C97" t="s">
        <v>358</v>
      </c>
      <c r="D97" t="s">
        <v>599</v>
      </c>
      <c r="E97" t="s">
        <v>335</v>
      </c>
      <c r="F97" t="s">
        <v>19</v>
      </c>
      <c r="G97" t="s">
        <v>411</v>
      </c>
      <c r="H97" t="s">
        <v>117</v>
      </c>
      <c r="I97" t="s">
        <v>22</v>
      </c>
      <c r="J97" t="s">
        <v>22</v>
      </c>
      <c r="K97" t="s">
        <v>600</v>
      </c>
      <c r="L97" t="s">
        <v>601</v>
      </c>
      <c r="M97" t="s">
        <v>363</v>
      </c>
      <c r="N97" t="s">
        <v>599</v>
      </c>
      <c r="O97" t="s">
        <v>883</v>
      </c>
      <c r="P97" t="str" cm="1">
        <f t="array" ref="P97">_xlfn.IFS(ISNUMBER(SEARCH("AEIC:", O97)), "Arkansas",ISNUMBER(SEARCH("STM:", O97)), "Texas",ISNUMBER(SEARCH("BILLING:", O97)), "Texas",ISNUMBER(SEARCH("AM:", O97)), "Texas",ISNUMBER(SEARCH("ARBlvd:", O97)), "Arkansas",ISNUMBER(SEARCH("Atlanta:", O97)), "Texas",ISNUMBER(SEARCH("Blanchard:", O97)), "Louisiana",ISNUMBER(SEARCH("Bryant:", O97)), "Arkansas",ISNUMBER(SEARCH("Choctaw:", O97)), "Oklahoma",ISNUMBER(SEARCH("Choc Allgy:", O97)), "Oklahoma",ISNUMBER(SEARCH("DeQueen:", O97)), "Arkansas",ISNUMBER(SEARCH("Edmond:", O97)), "Oklahoma",ISNUMBER(SEARCH("Edmd Aller:", O97)), "Oklahoma",ISNUMBER(SEARCH("Imaging:", O97)), "Texas",ISNUMBER(SEARCH("Longview:", O97)), "Texas",ISNUMBER(SEARCH("Marshall:", O97)), "Texas",ISNUMBER(SEARCH("Mar Allerg:", O97)), "Texas",ISNUMBER(SEARCH("Maumelle:", O97)), "Arkansas",ISNUMBER(SEARCH("MWC:", O97)), "Oklahoma",ISNUMBER(SEARCH("MWC Allgy:", O97)), "Oklahoma",ISNUMBER(SEARCH("Moore:", O97)), "Oklahoma",ISNUMBER(SEARCH("MooreAllgy:", O97)), "Oklahoma",ISNUMBER(SEARCH("MtPleasant:", O97)), "Texas",ISNUMBER(SEARCH("OccOffsite:", O97)), "Texas",ISNUMBER(SEARCH("Pain Mgmt:", O97)), "Texas",ISNUMBER(SEARCH("Paris:", O97)), "Texas",ISNUMBER(SEARCH("PT:", O97)), "Texas",ISNUMBER(SEARCH("RR Allergy:", O97)), "Texas",ISNUMBER(SEARCH("Sherwood:", O97)), "Arkansas",ISNUMBER(SEARCH("WV:", O97)), "Texas",ISNUMBER(SEARCH("Nur-Home:", O97)), "Texas",ISNUMBER(SEARCH("THC:", O97)), "Texas",ISNUMBER(SEARCH("WVTC:", O97)), "Texas",ISNUMBER(SEARCH("TSC:", O97)), "Texas",ISNUMBER(SEARCH("V-AR Blvd:", O97)), "Arkansas",ISNUMBER(SEARCH("V-Maumelle:", O97)), "Arkansas",ISNUMBER(SEARCH("V-Atlanta:", O97)), "Texas",ISNUMBER(SEARCH("VBlanchard:", O97)), "Louisiana",ISNUMBER(SEARCH("V-Bryant:", O97)), "Arkansas",ISNUMBER(SEARCH("V-Choctaw:", O97)), "Oklahoma",ISNUMBER(SEARCH("V-DeQueen:", O97)), "Arkansas",ISNUMBER(SEARCH("V-Longview:", O97)), "Texas",ISNUMBER(SEARCH("V-Marshall:", O97)), "Texas",ISNUMBER(SEARCH("V-MWC:", O97)), "Oklahoma",ISNUMBER(SEARCH("V-Moore:", O97)), "Oklahoma",ISNUMBER(SEARCH("V-MP:", O97)), "Texas",ISNUMBER(SEARCH("V-Edmond:", O97)), "Oklahoma",ISNUMBER(SEARCH("V-Paris:", O97)), "Texas",ISNUMBER(SEARCH("V-RR:", O97)), "Texas",ISNUMBER(SEARCH("V-Sherwood:", O97)), "Arkansas",ISNUMBER(SEARCH("V-WV:", O97)), "Texas",ISNUMBER(SEARCH("HealthCARE Express - Richmond Road", O97)), "Texas",ISNUMBER(SEARCH("HealthCARE Express - Occupational Medicine", O97)), "Texas")</f>
        <v>Arkansas</v>
      </c>
      <c r="Q97" t="s">
        <v>841</v>
      </c>
      <c r="R97" t="s">
        <v>882</v>
      </c>
      <c r="S97" t="s">
        <v>335</v>
      </c>
      <c r="T97" t="s">
        <v>848</v>
      </c>
      <c r="U97" t="s">
        <v>880</v>
      </c>
      <c r="AF97" t="str" cm="1">
        <f t="array" ref="AF97">IF(SUMPRODUCT(--ISNUMBER(SEARCH("992",T97:AE97)))&gt;0, "E&amp;M", "No E&amp;M")</f>
        <v>E&amp;M</v>
      </c>
      <c r="AG97" t="str">
        <f t="shared" si="7"/>
        <v>99214</v>
      </c>
      <c r="AH97" t="str">
        <f t="shared" si="8"/>
        <v>Estd. Patient</v>
      </c>
      <c r="AI97" t="str">
        <f t="shared" si="9"/>
        <v>Little Rock Region</v>
      </c>
    </row>
    <row r="98" spans="1:35" x14ac:dyDescent="0.3">
      <c r="A98" t="s">
        <v>602</v>
      </c>
      <c r="B98" t="s">
        <v>357</v>
      </c>
      <c r="C98" t="s">
        <v>358</v>
      </c>
      <c r="D98" t="s">
        <v>603</v>
      </c>
      <c r="E98" t="s">
        <v>96</v>
      </c>
      <c r="F98" t="s">
        <v>19</v>
      </c>
      <c r="G98" t="s">
        <v>416</v>
      </c>
      <c r="H98" t="s">
        <v>301</v>
      </c>
      <c r="I98" t="s">
        <v>22</v>
      </c>
      <c r="J98" t="s">
        <v>22</v>
      </c>
      <c r="K98" t="s">
        <v>604</v>
      </c>
      <c r="L98" t="s">
        <v>605</v>
      </c>
      <c r="M98" t="s">
        <v>363</v>
      </c>
      <c r="N98" t="s">
        <v>603</v>
      </c>
      <c r="O98" t="s">
        <v>883</v>
      </c>
      <c r="P98" t="str" cm="1">
        <f t="array" ref="P98">_xlfn.IFS(ISNUMBER(SEARCH("AEIC:", O98)), "Arkansas",ISNUMBER(SEARCH("STM:", O98)), "Texas",ISNUMBER(SEARCH("BILLING:", O98)), "Texas",ISNUMBER(SEARCH("AM:", O98)), "Texas",ISNUMBER(SEARCH("ARBlvd:", O98)), "Arkansas",ISNUMBER(SEARCH("Atlanta:", O98)), "Texas",ISNUMBER(SEARCH("Blanchard:", O98)), "Louisiana",ISNUMBER(SEARCH("Bryant:", O98)), "Arkansas",ISNUMBER(SEARCH("Choctaw:", O98)), "Oklahoma",ISNUMBER(SEARCH("Choc Allgy:", O98)), "Oklahoma",ISNUMBER(SEARCH("DeQueen:", O98)), "Arkansas",ISNUMBER(SEARCH("Edmond:", O98)), "Oklahoma",ISNUMBER(SEARCH("Edmd Aller:", O98)), "Oklahoma",ISNUMBER(SEARCH("Imaging:", O98)), "Texas",ISNUMBER(SEARCH("Longview:", O98)), "Texas",ISNUMBER(SEARCH("Marshall:", O98)), "Texas",ISNUMBER(SEARCH("Mar Allerg:", O98)), "Texas",ISNUMBER(SEARCH("Maumelle:", O98)), "Arkansas",ISNUMBER(SEARCH("MWC:", O98)), "Oklahoma",ISNUMBER(SEARCH("MWC Allgy:", O98)), "Oklahoma",ISNUMBER(SEARCH("Moore:", O98)), "Oklahoma",ISNUMBER(SEARCH("MooreAllgy:", O98)), "Oklahoma",ISNUMBER(SEARCH("MtPleasant:", O98)), "Texas",ISNUMBER(SEARCH("OccOffsite:", O98)), "Texas",ISNUMBER(SEARCH("Pain Mgmt:", O98)), "Texas",ISNUMBER(SEARCH("Paris:", O98)), "Texas",ISNUMBER(SEARCH("PT:", O98)), "Texas",ISNUMBER(SEARCH("RR Allergy:", O98)), "Texas",ISNUMBER(SEARCH("Sherwood:", O98)), "Arkansas",ISNUMBER(SEARCH("WV:", O98)), "Texas",ISNUMBER(SEARCH("Nur-Home:", O98)), "Texas",ISNUMBER(SEARCH("THC:", O98)), "Texas",ISNUMBER(SEARCH("WVTC:", O98)), "Texas",ISNUMBER(SEARCH("TSC:", O98)), "Texas",ISNUMBER(SEARCH("V-AR Blvd:", O98)), "Arkansas",ISNUMBER(SEARCH("V-Maumelle:", O98)), "Arkansas",ISNUMBER(SEARCH("V-Atlanta:", O98)), "Texas",ISNUMBER(SEARCH("VBlanchard:", O98)), "Louisiana",ISNUMBER(SEARCH("V-Bryant:", O98)), "Arkansas",ISNUMBER(SEARCH("V-Choctaw:", O98)), "Oklahoma",ISNUMBER(SEARCH("V-DeQueen:", O98)), "Arkansas",ISNUMBER(SEARCH("V-Longview:", O98)), "Texas",ISNUMBER(SEARCH("V-Marshall:", O98)), "Texas",ISNUMBER(SEARCH("V-MWC:", O98)), "Oklahoma",ISNUMBER(SEARCH("V-Moore:", O98)), "Oklahoma",ISNUMBER(SEARCH("V-MP:", O98)), "Texas",ISNUMBER(SEARCH("V-Edmond:", O98)), "Oklahoma",ISNUMBER(SEARCH("V-Paris:", O98)), "Texas",ISNUMBER(SEARCH("V-RR:", O98)), "Texas",ISNUMBER(SEARCH("V-Sherwood:", O98)), "Arkansas",ISNUMBER(SEARCH("V-WV:", O98)), "Texas",ISNUMBER(SEARCH("HealthCARE Express - Richmond Road", O98)), "Texas",ISNUMBER(SEARCH("HealthCARE Express - Occupational Medicine", O98)), "Texas")</f>
        <v>Arkansas</v>
      </c>
      <c r="Q98" t="s">
        <v>841</v>
      </c>
      <c r="R98" t="s">
        <v>879</v>
      </c>
      <c r="S98" t="s">
        <v>96</v>
      </c>
      <c r="T98" t="s">
        <v>848</v>
      </c>
      <c r="U98" t="s">
        <v>880</v>
      </c>
      <c r="V98" t="s">
        <v>864</v>
      </c>
      <c r="AF98" t="str" cm="1">
        <f t="array" ref="AF98">IF(SUMPRODUCT(--ISNUMBER(SEARCH("992",T98:AE98)))&gt;0, "E&amp;M", "No E&amp;M")</f>
        <v>E&amp;M</v>
      </c>
      <c r="AG98" t="str">
        <f t="shared" si="7"/>
        <v>99214</v>
      </c>
      <c r="AH98" t="str">
        <f t="shared" si="8"/>
        <v>Estd. Patient</v>
      </c>
      <c r="AI98" t="str">
        <f t="shared" si="9"/>
        <v>Little Rock Region</v>
      </c>
    </row>
    <row r="99" spans="1:35" x14ac:dyDescent="0.3">
      <c r="A99" t="s">
        <v>606</v>
      </c>
      <c r="B99" t="s">
        <v>357</v>
      </c>
      <c r="C99" t="s">
        <v>358</v>
      </c>
      <c r="D99" t="s">
        <v>607</v>
      </c>
      <c r="E99" t="s">
        <v>96</v>
      </c>
      <c r="F99" t="s">
        <v>19</v>
      </c>
      <c r="G99" t="s">
        <v>440</v>
      </c>
      <c r="H99" t="s">
        <v>22</v>
      </c>
      <c r="I99" t="s">
        <v>22</v>
      </c>
      <c r="J99" t="s">
        <v>22</v>
      </c>
      <c r="K99" t="s">
        <v>440</v>
      </c>
      <c r="L99" t="s">
        <v>608</v>
      </c>
      <c r="M99" t="s">
        <v>363</v>
      </c>
      <c r="N99" t="s">
        <v>609</v>
      </c>
      <c r="O99" t="s">
        <v>883</v>
      </c>
      <c r="P99" t="str" cm="1">
        <f t="array" ref="P99">_xlfn.IFS(ISNUMBER(SEARCH("AEIC:", O99)), "Arkansas",ISNUMBER(SEARCH("STM:", O99)), "Texas",ISNUMBER(SEARCH("BILLING:", O99)), "Texas",ISNUMBER(SEARCH("AM:", O99)), "Texas",ISNUMBER(SEARCH("ARBlvd:", O99)), "Arkansas",ISNUMBER(SEARCH("Atlanta:", O99)), "Texas",ISNUMBER(SEARCH("Blanchard:", O99)), "Louisiana",ISNUMBER(SEARCH("Bryant:", O99)), "Arkansas",ISNUMBER(SEARCH("Choctaw:", O99)), "Oklahoma",ISNUMBER(SEARCH("Choc Allgy:", O99)), "Oklahoma",ISNUMBER(SEARCH("DeQueen:", O99)), "Arkansas",ISNUMBER(SEARCH("Edmond:", O99)), "Oklahoma",ISNUMBER(SEARCH("Edmd Aller:", O99)), "Oklahoma",ISNUMBER(SEARCH("Imaging:", O99)), "Texas",ISNUMBER(SEARCH("Longview:", O99)), "Texas",ISNUMBER(SEARCH("Marshall:", O99)), "Texas",ISNUMBER(SEARCH("Mar Allerg:", O99)), "Texas",ISNUMBER(SEARCH("Maumelle:", O99)), "Arkansas",ISNUMBER(SEARCH("MWC:", O99)), "Oklahoma",ISNUMBER(SEARCH("MWC Allgy:", O99)), "Oklahoma",ISNUMBER(SEARCH("Moore:", O99)), "Oklahoma",ISNUMBER(SEARCH("MooreAllgy:", O99)), "Oklahoma",ISNUMBER(SEARCH("MtPleasant:", O99)), "Texas",ISNUMBER(SEARCH("OccOffsite:", O99)), "Texas",ISNUMBER(SEARCH("Pain Mgmt:", O99)), "Texas",ISNUMBER(SEARCH("Paris:", O99)), "Texas",ISNUMBER(SEARCH("PT:", O99)), "Texas",ISNUMBER(SEARCH("RR Allergy:", O99)), "Texas",ISNUMBER(SEARCH("Sherwood:", O99)), "Arkansas",ISNUMBER(SEARCH("WV:", O99)), "Texas",ISNUMBER(SEARCH("Nur-Home:", O99)), "Texas",ISNUMBER(SEARCH("THC:", O99)), "Texas",ISNUMBER(SEARCH("WVTC:", O99)), "Texas",ISNUMBER(SEARCH("TSC:", O99)), "Texas",ISNUMBER(SEARCH("V-AR Blvd:", O99)), "Arkansas",ISNUMBER(SEARCH("V-Maumelle:", O99)), "Arkansas",ISNUMBER(SEARCH("V-Atlanta:", O99)), "Texas",ISNUMBER(SEARCH("VBlanchard:", O99)), "Louisiana",ISNUMBER(SEARCH("V-Bryant:", O99)), "Arkansas",ISNUMBER(SEARCH("V-Choctaw:", O99)), "Oklahoma",ISNUMBER(SEARCH("V-DeQueen:", O99)), "Arkansas",ISNUMBER(SEARCH("V-Longview:", O99)), "Texas",ISNUMBER(SEARCH("V-Marshall:", O99)), "Texas",ISNUMBER(SEARCH("V-MWC:", O99)), "Oklahoma",ISNUMBER(SEARCH("V-Moore:", O99)), "Oklahoma",ISNUMBER(SEARCH("V-MP:", O99)), "Texas",ISNUMBER(SEARCH("V-Edmond:", O99)), "Oklahoma",ISNUMBER(SEARCH("V-Paris:", O99)), "Texas",ISNUMBER(SEARCH("V-RR:", O99)), "Texas",ISNUMBER(SEARCH("V-Sherwood:", O99)), "Arkansas",ISNUMBER(SEARCH("V-WV:", O99)), "Texas",ISNUMBER(SEARCH("HealthCARE Express - Richmond Road", O99)), "Texas",ISNUMBER(SEARCH("HealthCARE Express - Occupational Medicine", O99)), "Texas")</f>
        <v>Arkansas</v>
      </c>
      <c r="Q99" t="s">
        <v>841</v>
      </c>
      <c r="R99" t="s">
        <v>879</v>
      </c>
      <c r="S99" t="s">
        <v>96</v>
      </c>
      <c r="T99" t="s">
        <v>848</v>
      </c>
      <c r="AF99" t="str" cm="1">
        <f t="array" ref="AF99">IF(SUMPRODUCT(--ISNUMBER(SEARCH("992",T99:AE99)))&gt;0, "E&amp;M", "No E&amp;M")</f>
        <v>E&amp;M</v>
      </c>
      <c r="AG99" t="str">
        <f t="shared" si="7"/>
        <v>99214</v>
      </c>
      <c r="AH99" t="str">
        <f t="shared" si="8"/>
        <v>Estd. Patient</v>
      </c>
      <c r="AI99" t="str">
        <f t="shared" si="9"/>
        <v>Little Rock Region</v>
      </c>
    </row>
    <row r="100" spans="1:35" x14ac:dyDescent="0.3">
      <c r="A100" t="s">
        <v>610</v>
      </c>
      <c r="B100" t="s">
        <v>357</v>
      </c>
      <c r="C100" t="s">
        <v>386</v>
      </c>
      <c r="D100" t="s">
        <v>611</v>
      </c>
      <c r="E100" t="s">
        <v>517</v>
      </c>
      <c r="F100" t="s">
        <v>19</v>
      </c>
      <c r="G100" t="s">
        <v>612</v>
      </c>
      <c r="H100" t="s">
        <v>22</v>
      </c>
      <c r="I100" t="s">
        <v>22</v>
      </c>
      <c r="J100" t="s">
        <v>22</v>
      </c>
      <c r="K100" t="s">
        <v>612</v>
      </c>
      <c r="L100" t="s">
        <v>613</v>
      </c>
      <c r="M100" t="s">
        <v>392</v>
      </c>
      <c r="N100" t="s">
        <v>611</v>
      </c>
      <c r="O100" t="s">
        <v>874</v>
      </c>
      <c r="P100" t="str" cm="1">
        <f t="array" ref="P100">_xlfn.IFS(ISNUMBER(SEARCH("AEIC:", O100)), "Arkansas",ISNUMBER(SEARCH("STM:", O100)), "Texas",ISNUMBER(SEARCH("BILLING:", O100)), "Texas",ISNUMBER(SEARCH("AM:", O100)), "Texas",ISNUMBER(SEARCH("ARBlvd:", O100)), "Arkansas",ISNUMBER(SEARCH("Atlanta:", O100)), "Texas",ISNUMBER(SEARCH("Blanchard:", O100)), "Louisiana",ISNUMBER(SEARCH("Bryant:", O100)), "Arkansas",ISNUMBER(SEARCH("Choctaw:", O100)), "Oklahoma",ISNUMBER(SEARCH("Choc Allgy:", O100)), "Oklahoma",ISNUMBER(SEARCH("DeQueen:", O100)), "Arkansas",ISNUMBER(SEARCH("Edmond:", O100)), "Oklahoma",ISNUMBER(SEARCH("Edmd Aller:", O100)), "Oklahoma",ISNUMBER(SEARCH("Imaging:", O100)), "Texas",ISNUMBER(SEARCH("Longview:", O100)), "Texas",ISNUMBER(SEARCH("Marshall:", O100)), "Texas",ISNUMBER(SEARCH("Mar Allerg:", O100)), "Texas",ISNUMBER(SEARCH("Maumelle:", O100)), "Arkansas",ISNUMBER(SEARCH("MWC:", O100)), "Oklahoma",ISNUMBER(SEARCH("MWC Allgy:", O100)), "Oklahoma",ISNUMBER(SEARCH("Moore:", O100)), "Oklahoma",ISNUMBER(SEARCH("MooreAllgy:", O100)), "Oklahoma",ISNUMBER(SEARCH("MtPleasant:", O100)), "Texas",ISNUMBER(SEARCH("OccOffsite:", O100)), "Texas",ISNUMBER(SEARCH("Pain Mgmt:", O100)), "Texas",ISNUMBER(SEARCH("Paris:", O100)), "Texas",ISNUMBER(SEARCH("PT:", O100)), "Texas",ISNUMBER(SEARCH("RR Allergy:", O100)), "Texas",ISNUMBER(SEARCH("Sherwood:", O100)), "Arkansas",ISNUMBER(SEARCH("WV:", O100)), "Texas",ISNUMBER(SEARCH("Nur-Home:", O100)), "Texas",ISNUMBER(SEARCH("THC:", O100)), "Texas",ISNUMBER(SEARCH("WVTC:", O100)), "Texas",ISNUMBER(SEARCH("TSC:", O100)), "Texas",ISNUMBER(SEARCH("V-AR Blvd:", O100)), "Arkansas",ISNUMBER(SEARCH("V-Maumelle:", O100)), "Arkansas",ISNUMBER(SEARCH("V-Atlanta:", O100)), "Texas",ISNUMBER(SEARCH("VBlanchard:", O100)), "Louisiana",ISNUMBER(SEARCH("V-Bryant:", O100)), "Arkansas",ISNUMBER(SEARCH("V-Choctaw:", O100)), "Oklahoma",ISNUMBER(SEARCH("V-DeQueen:", O100)), "Arkansas",ISNUMBER(SEARCH("V-Longview:", O100)), "Texas",ISNUMBER(SEARCH("V-Marshall:", O100)), "Texas",ISNUMBER(SEARCH("V-MWC:", O100)), "Oklahoma",ISNUMBER(SEARCH("V-Moore:", O100)), "Oklahoma",ISNUMBER(SEARCH("V-MP:", O100)), "Texas",ISNUMBER(SEARCH("V-Edmond:", O100)), "Oklahoma",ISNUMBER(SEARCH("V-Paris:", O100)), "Texas",ISNUMBER(SEARCH("V-RR:", O100)), "Texas",ISNUMBER(SEARCH("V-Sherwood:", O100)), "Arkansas",ISNUMBER(SEARCH("V-WV:", O100)), "Texas",ISNUMBER(SEARCH("HealthCARE Express - Richmond Road", O100)), "Texas",ISNUMBER(SEARCH("HealthCARE Express - Occupational Medicine", O100)), "Texas")</f>
        <v>Arkansas</v>
      </c>
      <c r="Q100" t="s">
        <v>841</v>
      </c>
      <c r="R100" t="s">
        <v>929</v>
      </c>
      <c r="S100" t="s">
        <v>517</v>
      </c>
      <c r="T100" t="s">
        <v>848</v>
      </c>
      <c r="U100" t="s">
        <v>932</v>
      </c>
      <c r="AF100" t="str" cm="1">
        <f t="array" ref="AF100">IF(SUMPRODUCT(--ISNUMBER(SEARCH("992",T100:AE100)))&gt;0, "E&amp;M", "No E&amp;M")</f>
        <v>E&amp;M</v>
      </c>
      <c r="AG100" t="str">
        <f t="shared" si="7"/>
        <v>99214</v>
      </c>
      <c r="AH100" t="str">
        <f t="shared" si="8"/>
        <v>Estd. Patient</v>
      </c>
      <c r="AI100" t="str">
        <f t="shared" si="9"/>
        <v>Little Rock Region</v>
      </c>
    </row>
    <row r="101" spans="1:35" x14ac:dyDescent="0.3">
      <c r="A101" t="s">
        <v>614</v>
      </c>
      <c r="B101" t="s">
        <v>357</v>
      </c>
      <c r="C101" t="s">
        <v>109</v>
      </c>
      <c r="D101" t="s">
        <v>615</v>
      </c>
      <c r="E101" t="s">
        <v>96</v>
      </c>
      <c r="F101" t="s">
        <v>19</v>
      </c>
      <c r="G101" t="s">
        <v>97</v>
      </c>
      <c r="H101" t="s">
        <v>22</v>
      </c>
      <c r="I101" t="s">
        <v>22</v>
      </c>
      <c r="J101" t="s">
        <v>22</v>
      </c>
      <c r="K101" t="s">
        <v>97</v>
      </c>
      <c r="L101" t="s">
        <v>616</v>
      </c>
      <c r="M101" t="s">
        <v>113</v>
      </c>
      <c r="N101" t="s">
        <v>615</v>
      </c>
      <c r="O101" t="s">
        <v>878</v>
      </c>
      <c r="P101" t="str" cm="1">
        <f t="array" ref="P101">_xlfn.IFS(ISNUMBER(SEARCH("AEIC:", O101)), "Arkansas",ISNUMBER(SEARCH("STM:", O101)), "Texas",ISNUMBER(SEARCH("BILLING:", O101)), "Texas",ISNUMBER(SEARCH("AM:", O101)), "Texas",ISNUMBER(SEARCH("ARBlvd:", O101)), "Arkansas",ISNUMBER(SEARCH("Atlanta:", O101)), "Texas",ISNUMBER(SEARCH("Blanchard:", O101)), "Louisiana",ISNUMBER(SEARCH("Bryant:", O101)), "Arkansas",ISNUMBER(SEARCH("Choctaw:", O101)), "Oklahoma",ISNUMBER(SEARCH("Choc Allgy:", O101)), "Oklahoma",ISNUMBER(SEARCH("DeQueen:", O101)), "Arkansas",ISNUMBER(SEARCH("Edmond:", O101)), "Oklahoma",ISNUMBER(SEARCH("Edmd Aller:", O101)), "Oklahoma",ISNUMBER(SEARCH("Imaging:", O101)), "Texas",ISNUMBER(SEARCH("Longview:", O101)), "Texas",ISNUMBER(SEARCH("Marshall:", O101)), "Texas",ISNUMBER(SEARCH("Mar Allerg:", O101)), "Texas",ISNUMBER(SEARCH("Maumelle:", O101)), "Arkansas",ISNUMBER(SEARCH("MWC:", O101)), "Oklahoma",ISNUMBER(SEARCH("MWC Allgy:", O101)), "Oklahoma",ISNUMBER(SEARCH("Moore:", O101)), "Oklahoma",ISNUMBER(SEARCH("MooreAllgy:", O101)), "Oklahoma",ISNUMBER(SEARCH("MtPleasant:", O101)), "Texas",ISNUMBER(SEARCH("OccOffsite:", O101)), "Texas",ISNUMBER(SEARCH("Pain Mgmt:", O101)), "Texas",ISNUMBER(SEARCH("Paris:", O101)), "Texas",ISNUMBER(SEARCH("PT:", O101)), "Texas",ISNUMBER(SEARCH("RR Allergy:", O101)), "Texas",ISNUMBER(SEARCH("Sherwood:", O101)), "Arkansas",ISNUMBER(SEARCH("WV:", O101)), "Texas",ISNUMBER(SEARCH("Nur-Home:", O101)), "Texas",ISNUMBER(SEARCH("THC:", O101)), "Texas",ISNUMBER(SEARCH("WVTC:", O101)), "Texas",ISNUMBER(SEARCH("TSC:", O101)), "Texas",ISNUMBER(SEARCH("V-AR Blvd:", O101)), "Arkansas",ISNUMBER(SEARCH("V-Maumelle:", O101)), "Arkansas",ISNUMBER(SEARCH("V-Atlanta:", O101)), "Texas",ISNUMBER(SEARCH("VBlanchard:", O101)), "Louisiana",ISNUMBER(SEARCH("V-Bryant:", O101)), "Arkansas",ISNUMBER(SEARCH("V-Choctaw:", O101)), "Oklahoma",ISNUMBER(SEARCH("V-DeQueen:", O101)), "Arkansas",ISNUMBER(SEARCH("V-Longview:", O101)), "Texas",ISNUMBER(SEARCH("V-Marshall:", O101)), "Texas",ISNUMBER(SEARCH("V-MWC:", O101)), "Oklahoma",ISNUMBER(SEARCH("V-Moore:", O101)), "Oklahoma",ISNUMBER(SEARCH("V-MP:", O101)), "Texas",ISNUMBER(SEARCH("V-Edmond:", O101)), "Oklahoma",ISNUMBER(SEARCH("V-Paris:", O101)), "Texas",ISNUMBER(SEARCH("V-RR:", O101)), "Texas",ISNUMBER(SEARCH("V-Sherwood:", O101)), "Arkansas",ISNUMBER(SEARCH("V-WV:", O101)), "Texas",ISNUMBER(SEARCH("HealthCARE Express - Richmond Road", O101)), "Texas",ISNUMBER(SEARCH("HealthCARE Express - Occupational Medicine", O101)), "Texas")</f>
        <v>Arkansas</v>
      </c>
      <c r="Q101" t="s">
        <v>841</v>
      </c>
      <c r="R101" t="s">
        <v>879</v>
      </c>
      <c r="S101" t="s">
        <v>96</v>
      </c>
      <c r="T101" t="s">
        <v>848</v>
      </c>
      <c r="U101" t="s">
        <v>880</v>
      </c>
      <c r="V101" t="s">
        <v>873</v>
      </c>
      <c r="AF101" t="str" cm="1">
        <f t="array" ref="AF101">IF(SUMPRODUCT(--ISNUMBER(SEARCH("992",T101:AE101)))&gt;0, "E&amp;M", "No E&amp;M")</f>
        <v>E&amp;M</v>
      </c>
      <c r="AG101" t="str">
        <f t="shared" si="7"/>
        <v>99214</v>
      </c>
      <c r="AH101" t="str">
        <f t="shared" si="8"/>
        <v>Estd. Patient</v>
      </c>
      <c r="AI101" t="str">
        <f t="shared" si="9"/>
        <v>Little Rock Region</v>
      </c>
    </row>
    <row r="102" spans="1:35" x14ac:dyDescent="0.3">
      <c r="A102" t="s">
        <v>617</v>
      </c>
      <c r="B102" t="s">
        <v>357</v>
      </c>
      <c r="C102" t="s">
        <v>109</v>
      </c>
      <c r="D102" t="s">
        <v>618</v>
      </c>
      <c r="E102" t="s">
        <v>96</v>
      </c>
      <c r="F102" t="s">
        <v>19</v>
      </c>
      <c r="G102" t="s">
        <v>440</v>
      </c>
      <c r="H102" t="s">
        <v>22</v>
      </c>
      <c r="I102" t="s">
        <v>22</v>
      </c>
      <c r="J102" t="s">
        <v>22</v>
      </c>
      <c r="K102" t="s">
        <v>440</v>
      </c>
      <c r="L102" t="s">
        <v>619</v>
      </c>
      <c r="M102" t="s">
        <v>113</v>
      </c>
      <c r="N102" t="s">
        <v>618</v>
      </c>
      <c r="O102" t="s">
        <v>878</v>
      </c>
      <c r="P102" t="str" cm="1">
        <f t="array" ref="P102">_xlfn.IFS(ISNUMBER(SEARCH("AEIC:", O102)), "Arkansas",ISNUMBER(SEARCH("STM:", O102)), "Texas",ISNUMBER(SEARCH("BILLING:", O102)), "Texas",ISNUMBER(SEARCH("AM:", O102)), "Texas",ISNUMBER(SEARCH("ARBlvd:", O102)), "Arkansas",ISNUMBER(SEARCH("Atlanta:", O102)), "Texas",ISNUMBER(SEARCH("Blanchard:", O102)), "Louisiana",ISNUMBER(SEARCH("Bryant:", O102)), "Arkansas",ISNUMBER(SEARCH("Choctaw:", O102)), "Oklahoma",ISNUMBER(SEARCH("Choc Allgy:", O102)), "Oklahoma",ISNUMBER(SEARCH("DeQueen:", O102)), "Arkansas",ISNUMBER(SEARCH("Edmond:", O102)), "Oklahoma",ISNUMBER(SEARCH("Edmd Aller:", O102)), "Oklahoma",ISNUMBER(SEARCH("Imaging:", O102)), "Texas",ISNUMBER(SEARCH("Longview:", O102)), "Texas",ISNUMBER(SEARCH("Marshall:", O102)), "Texas",ISNUMBER(SEARCH("Mar Allerg:", O102)), "Texas",ISNUMBER(SEARCH("Maumelle:", O102)), "Arkansas",ISNUMBER(SEARCH("MWC:", O102)), "Oklahoma",ISNUMBER(SEARCH("MWC Allgy:", O102)), "Oklahoma",ISNUMBER(SEARCH("Moore:", O102)), "Oklahoma",ISNUMBER(SEARCH("MooreAllgy:", O102)), "Oklahoma",ISNUMBER(SEARCH("MtPleasant:", O102)), "Texas",ISNUMBER(SEARCH("OccOffsite:", O102)), "Texas",ISNUMBER(SEARCH("Pain Mgmt:", O102)), "Texas",ISNUMBER(SEARCH("Paris:", O102)), "Texas",ISNUMBER(SEARCH("PT:", O102)), "Texas",ISNUMBER(SEARCH("RR Allergy:", O102)), "Texas",ISNUMBER(SEARCH("Sherwood:", O102)), "Arkansas",ISNUMBER(SEARCH("WV:", O102)), "Texas",ISNUMBER(SEARCH("Nur-Home:", O102)), "Texas",ISNUMBER(SEARCH("THC:", O102)), "Texas",ISNUMBER(SEARCH("WVTC:", O102)), "Texas",ISNUMBER(SEARCH("TSC:", O102)), "Texas",ISNUMBER(SEARCH("V-AR Blvd:", O102)), "Arkansas",ISNUMBER(SEARCH("V-Maumelle:", O102)), "Arkansas",ISNUMBER(SEARCH("V-Atlanta:", O102)), "Texas",ISNUMBER(SEARCH("VBlanchard:", O102)), "Louisiana",ISNUMBER(SEARCH("V-Bryant:", O102)), "Arkansas",ISNUMBER(SEARCH("V-Choctaw:", O102)), "Oklahoma",ISNUMBER(SEARCH("V-DeQueen:", O102)), "Arkansas",ISNUMBER(SEARCH("V-Longview:", O102)), "Texas",ISNUMBER(SEARCH("V-Marshall:", O102)), "Texas",ISNUMBER(SEARCH("V-MWC:", O102)), "Oklahoma",ISNUMBER(SEARCH("V-Moore:", O102)), "Oklahoma",ISNUMBER(SEARCH("V-MP:", O102)), "Texas",ISNUMBER(SEARCH("V-Edmond:", O102)), "Oklahoma",ISNUMBER(SEARCH("V-Paris:", O102)), "Texas",ISNUMBER(SEARCH("V-RR:", O102)), "Texas",ISNUMBER(SEARCH("V-Sherwood:", O102)), "Arkansas",ISNUMBER(SEARCH("V-WV:", O102)), "Texas",ISNUMBER(SEARCH("HealthCARE Express - Richmond Road", O102)), "Texas",ISNUMBER(SEARCH("HealthCARE Express - Occupational Medicine", O102)), "Texas")</f>
        <v>Arkansas</v>
      </c>
      <c r="Q102" t="s">
        <v>841</v>
      </c>
      <c r="R102" t="s">
        <v>879</v>
      </c>
      <c r="S102" t="s">
        <v>96</v>
      </c>
      <c r="T102" t="s">
        <v>848</v>
      </c>
      <c r="AF102" t="str" cm="1">
        <f t="array" ref="AF102">IF(SUMPRODUCT(--ISNUMBER(SEARCH("992",T102:AE102)))&gt;0, "E&amp;M", "No E&amp;M")</f>
        <v>E&amp;M</v>
      </c>
      <c r="AG102" t="str">
        <f t="shared" si="7"/>
        <v>99214</v>
      </c>
      <c r="AH102" t="str">
        <f t="shared" si="8"/>
        <v>Estd. Patient</v>
      </c>
      <c r="AI102" t="str">
        <f t="shared" si="9"/>
        <v>Little Rock Region</v>
      </c>
    </row>
    <row r="103" spans="1:35" x14ac:dyDescent="0.3">
      <c r="A103" t="s">
        <v>620</v>
      </c>
      <c r="B103" t="s">
        <v>357</v>
      </c>
      <c r="C103" t="s">
        <v>109</v>
      </c>
      <c r="D103" t="s">
        <v>621</v>
      </c>
      <c r="E103" t="s">
        <v>254</v>
      </c>
      <c r="F103" t="s">
        <v>19</v>
      </c>
      <c r="G103" t="s">
        <v>274</v>
      </c>
      <c r="H103" t="s">
        <v>622</v>
      </c>
      <c r="I103" t="s">
        <v>22</v>
      </c>
      <c r="J103" t="s">
        <v>22</v>
      </c>
      <c r="K103" t="s">
        <v>623</v>
      </c>
      <c r="L103" t="s">
        <v>624</v>
      </c>
      <c r="M103" t="s">
        <v>113</v>
      </c>
      <c r="N103" t="s">
        <v>625</v>
      </c>
      <c r="O103" t="s">
        <v>878</v>
      </c>
      <c r="P103" t="str" cm="1">
        <f t="array" ref="P103">_xlfn.IFS(ISNUMBER(SEARCH("AEIC:", O103)), "Arkansas",ISNUMBER(SEARCH("STM:", O103)), "Texas",ISNUMBER(SEARCH("BILLING:", O103)), "Texas",ISNUMBER(SEARCH("AM:", O103)), "Texas",ISNUMBER(SEARCH("ARBlvd:", O103)), "Arkansas",ISNUMBER(SEARCH("Atlanta:", O103)), "Texas",ISNUMBER(SEARCH("Blanchard:", O103)), "Louisiana",ISNUMBER(SEARCH("Bryant:", O103)), "Arkansas",ISNUMBER(SEARCH("Choctaw:", O103)), "Oklahoma",ISNUMBER(SEARCH("Choc Allgy:", O103)), "Oklahoma",ISNUMBER(SEARCH("DeQueen:", O103)), "Arkansas",ISNUMBER(SEARCH("Edmond:", O103)), "Oklahoma",ISNUMBER(SEARCH("Edmd Aller:", O103)), "Oklahoma",ISNUMBER(SEARCH("Imaging:", O103)), "Texas",ISNUMBER(SEARCH("Longview:", O103)), "Texas",ISNUMBER(SEARCH("Marshall:", O103)), "Texas",ISNUMBER(SEARCH("Mar Allerg:", O103)), "Texas",ISNUMBER(SEARCH("Maumelle:", O103)), "Arkansas",ISNUMBER(SEARCH("MWC:", O103)), "Oklahoma",ISNUMBER(SEARCH("MWC Allgy:", O103)), "Oklahoma",ISNUMBER(SEARCH("Moore:", O103)), "Oklahoma",ISNUMBER(SEARCH("MooreAllgy:", O103)), "Oklahoma",ISNUMBER(SEARCH("MtPleasant:", O103)), "Texas",ISNUMBER(SEARCH("OccOffsite:", O103)), "Texas",ISNUMBER(SEARCH("Pain Mgmt:", O103)), "Texas",ISNUMBER(SEARCH("Paris:", O103)), "Texas",ISNUMBER(SEARCH("PT:", O103)), "Texas",ISNUMBER(SEARCH("RR Allergy:", O103)), "Texas",ISNUMBER(SEARCH("Sherwood:", O103)), "Arkansas",ISNUMBER(SEARCH("WV:", O103)), "Texas",ISNUMBER(SEARCH("Nur-Home:", O103)), "Texas",ISNUMBER(SEARCH("THC:", O103)), "Texas",ISNUMBER(SEARCH("WVTC:", O103)), "Texas",ISNUMBER(SEARCH("TSC:", O103)), "Texas",ISNUMBER(SEARCH("V-AR Blvd:", O103)), "Arkansas",ISNUMBER(SEARCH("V-Maumelle:", O103)), "Arkansas",ISNUMBER(SEARCH("V-Atlanta:", O103)), "Texas",ISNUMBER(SEARCH("VBlanchard:", O103)), "Louisiana",ISNUMBER(SEARCH("V-Bryant:", O103)), "Arkansas",ISNUMBER(SEARCH("V-Choctaw:", O103)), "Oklahoma",ISNUMBER(SEARCH("V-DeQueen:", O103)), "Arkansas",ISNUMBER(SEARCH("V-Longview:", O103)), "Texas",ISNUMBER(SEARCH("V-Marshall:", O103)), "Texas",ISNUMBER(SEARCH("V-MWC:", O103)), "Oklahoma",ISNUMBER(SEARCH("V-Moore:", O103)), "Oklahoma",ISNUMBER(SEARCH("V-MP:", O103)), "Texas",ISNUMBER(SEARCH("V-Edmond:", O103)), "Oklahoma",ISNUMBER(SEARCH("V-Paris:", O103)), "Texas",ISNUMBER(SEARCH("V-RR:", O103)), "Texas",ISNUMBER(SEARCH("V-Sherwood:", O103)), "Arkansas",ISNUMBER(SEARCH("V-WV:", O103)), "Texas",ISNUMBER(SEARCH("HealthCARE Express - Richmond Road", O103)), "Texas",ISNUMBER(SEARCH("HealthCARE Express - Occupational Medicine", O103)), "Texas")</f>
        <v>Arkansas</v>
      </c>
      <c r="Q103" t="s">
        <v>841</v>
      </c>
      <c r="R103" t="s">
        <v>868</v>
      </c>
      <c r="S103" t="s">
        <v>254</v>
      </c>
      <c r="T103" t="s">
        <v>848</v>
      </c>
      <c r="U103" t="s">
        <v>864</v>
      </c>
      <c r="AF103" t="str" cm="1">
        <f t="array" ref="AF103">IF(SUMPRODUCT(--ISNUMBER(SEARCH("992",T103:AE103)))&gt;0, "E&amp;M", "No E&amp;M")</f>
        <v>E&amp;M</v>
      </c>
      <c r="AG103" t="str">
        <f t="shared" si="7"/>
        <v>99214</v>
      </c>
      <c r="AH103" t="str">
        <f t="shared" si="8"/>
        <v>Estd. Patient</v>
      </c>
      <c r="AI103" t="str">
        <f t="shared" si="9"/>
        <v>Little Rock Region</v>
      </c>
    </row>
    <row r="104" spans="1:35" x14ac:dyDescent="0.3">
      <c r="A104" t="s">
        <v>626</v>
      </c>
      <c r="B104" t="s">
        <v>357</v>
      </c>
      <c r="C104" t="s">
        <v>358</v>
      </c>
      <c r="D104" t="s">
        <v>627</v>
      </c>
      <c r="E104" t="s">
        <v>375</v>
      </c>
      <c r="F104" t="s">
        <v>19</v>
      </c>
      <c r="G104" t="s">
        <v>628</v>
      </c>
      <c r="H104" t="s">
        <v>22</v>
      </c>
      <c r="I104" t="s">
        <v>22</v>
      </c>
      <c r="J104" t="s">
        <v>22</v>
      </c>
      <c r="K104" t="s">
        <v>628</v>
      </c>
      <c r="L104" t="s">
        <v>629</v>
      </c>
      <c r="M104" t="s">
        <v>363</v>
      </c>
      <c r="N104" t="s">
        <v>627</v>
      </c>
      <c r="O104" t="s">
        <v>883</v>
      </c>
      <c r="P104" t="str" cm="1">
        <f t="array" ref="P104">_xlfn.IFS(ISNUMBER(SEARCH("AEIC:", O104)), "Arkansas",ISNUMBER(SEARCH("STM:", O104)), "Texas",ISNUMBER(SEARCH("BILLING:", O104)), "Texas",ISNUMBER(SEARCH("AM:", O104)), "Texas",ISNUMBER(SEARCH("ARBlvd:", O104)), "Arkansas",ISNUMBER(SEARCH("Atlanta:", O104)), "Texas",ISNUMBER(SEARCH("Blanchard:", O104)), "Louisiana",ISNUMBER(SEARCH("Bryant:", O104)), "Arkansas",ISNUMBER(SEARCH("Choctaw:", O104)), "Oklahoma",ISNUMBER(SEARCH("Choc Allgy:", O104)), "Oklahoma",ISNUMBER(SEARCH("DeQueen:", O104)), "Arkansas",ISNUMBER(SEARCH("Edmond:", O104)), "Oklahoma",ISNUMBER(SEARCH("Edmd Aller:", O104)), "Oklahoma",ISNUMBER(SEARCH("Imaging:", O104)), "Texas",ISNUMBER(SEARCH("Longview:", O104)), "Texas",ISNUMBER(SEARCH("Marshall:", O104)), "Texas",ISNUMBER(SEARCH("Mar Allerg:", O104)), "Texas",ISNUMBER(SEARCH("Maumelle:", O104)), "Arkansas",ISNUMBER(SEARCH("MWC:", O104)), "Oklahoma",ISNUMBER(SEARCH("MWC Allgy:", O104)), "Oklahoma",ISNUMBER(SEARCH("Moore:", O104)), "Oklahoma",ISNUMBER(SEARCH("MooreAllgy:", O104)), "Oklahoma",ISNUMBER(SEARCH("MtPleasant:", O104)), "Texas",ISNUMBER(SEARCH("OccOffsite:", O104)), "Texas",ISNUMBER(SEARCH("Pain Mgmt:", O104)), "Texas",ISNUMBER(SEARCH("Paris:", O104)), "Texas",ISNUMBER(SEARCH("PT:", O104)), "Texas",ISNUMBER(SEARCH("RR Allergy:", O104)), "Texas",ISNUMBER(SEARCH("Sherwood:", O104)), "Arkansas",ISNUMBER(SEARCH("WV:", O104)), "Texas",ISNUMBER(SEARCH("Nur-Home:", O104)), "Texas",ISNUMBER(SEARCH("THC:", O104)), "Texas",ISNUMBER(SEARCH("WVTC:", O104)), "Texas",ISNUMBER(SEARCH("TSC:", O104)), "Texas",ISNUMBER(SEARCH("V-AR Blvd:", O104)), "Arkansas",ISNUMBER(SEARCH("V-Maumelle:", O104)), "Arkansas",ISNUMBER(SEARCH("V-Atlanta:", O104)), "Texas",ISNUMBER(SEARCH("VBlanchard:", O104)), "Louisiana",ISNUMBER(SEARCH("V-Bryant:", O104)), "Arkansas",ISNUMBER(SEARCH("V-Choctaw:", O104)), "Oklahoma",ISNUMBER(SEARCH("V-DeQueen:", O104)), "Arkansas",ISNUMBER(SEARCH("V-Longview:", O104)), "Texas",ISNUMBER(SEARCH("V-Marshall:", O104)), "Texas",ISNUMBER(SEARCH("V-MWC:", O104)), "Oklahoma",ISNUMBER(SEARCH("V-Moore:", O104)), "Oklahoma",ISNUMBER(SEARCH("V-MP:", O104)), "Texas",ISNUMBER(SEARCH("V-Edmond:", O104)), "Oklahoma",ISNUMBER(SEARCH("V-Paris:", O104)), "Texas",ISNUMBER(SEARCH("V-RR:", O104)), "Texas",ISNUMBER(SEARCH("V-Sherwood:", O104)), "Arkansas",ISNUMBER(SEARCH("V-WV:", O104)), "Texas",ISNUMBER(SEARCH("HealthCARE Express - Richmond Road", O104)), "Texas",ISNUMBER(SEARCH("HealthCARE Express - Occupational Medicine", O104)), "Texas")</f>
        <v>Arkansas</v>
      </c>
      <c r="Q104" t="s">
        <v>841</v>
      </c>
      <c r="R104" t="s">
        <v>872</v>
      </c>
      <c r="S104" t="s">
        <v>375</v>
      </c>
      <c r="T104" t="s">
        <v>848</v>
      </c>
      <c r="U104" t="s">
        <v>933</v>
      </c>
      <c r="AF104" t="str" cm="1">
        <f t="array" ref="AF104">IF(SUMPRODUCT(--ISNUMBER(SEARCH("992",T104:AE104)))&gt;0, "E&amp;M", "No E&amp;M")</f>
        <v>E&amp;M</v>
      </c>
      <c r="AG104" t="str">
        <f t="shared" si="7"/>
        <v>99214</v>
      </c>
      <c r="AH104" t="str">
        <f t="shared" si="8"/>
        <v>Estd. Patient</v>
      </c>
      <c r="AI104" t="str">
        <f t="shared" si="9"/>
        <v>Little Rock Region</v>
      </c>
    </row>
    <row r="105" spans="1:35" x14ac:dyDescent="0.3">
      <c r="A105" t="s">
        <v>630</v>
      </c>
      <c r="B105" t="s">
        <v>357</v>
      </c>
      <c r="C105" t="s">
        <v>386</v>
      </c>
      <c r="D105" t="s">
        <v>631</v>
      </c>
      <c r="E105" t="s">
        <v>632</v>
      </c>
      <c r="F105" t="s">
        <v>19</v>
      </c>
      <c r="G105" t="s">
        <v>106</v>
      </c>
      <c r="H105" t="s">
        <v>22</v>
      </c>
      <c r="I105" t="s">
        <v>22</v>
      </c>
      <c r="J105" t="s">
        <v>22</v>
      </c>
      <c r="K105" t="s">
        <v>106</v>
      </c>
      <c r="L105" t="s">
        <v>633</v>
      </c>
      <c r="M105" t="s">
        <v>392</v>
      </c>
      <c r="N105" t="s">
        <v>631</v>
      </c>
      <c r="O105" t="s">
        <v>874</v>
      </c>
      <c r="P105" t="str" cm="1">
        <f t="array" ref="P105">_xlfn.IFS(ISNUMBER(SEARCH("AEIC:", O105)), "Arkansas",ISNUMBER(SEARCH("STM:", O105)), "Texas",ISNUMBER(SEARCH("BILLING:", O105)), "Texas",ISNUMBER(SEARCH("AM:", O105)), "Texas",ISNUMBER(SEARCH("ARBlvd:", O105)), "Arkansas",ISNUMBER(SEARCH("Atlanta:", O105)), "Texas",ISNUMBER(SEARCH("Blanchard:", O105)), "Louisiana",ISNUMBER(SEARCH("Bryant:", O105)), "Arkansas",ISNUMBER(SEARCH("Choctaw:", O105)), "Oklahoma",ISNUMBER(SEARCH("Choc Allgy:", O105)), "Oklahoma",ISNUMBER(SEARCH("DeQueen:", O105)), "Arkansas",ISNUMBER(SEARCH("Edmond:", O105)), "Oklahoma",ISNUMBER(SEARCH("Edmd Aller:", O105)), "Oklahoma",ISNUMBER(SEARCH("Imaging:", O105)), "Texas",ISNUMBER(SEARCH("Longview:", O105)), "Texas",ISNUMBER(SEARCH("Marshall:", O105)), "Texas",ISNUMBER(SEARCH("Mar Allerg:", O105)), "Texas",ISNUMBER(SEARCH("Maumelle:", O105)), "Arkansas",ISNUMBER(SEARCH("MWC:", O105)), "Oklahoma",ISNUMBER(SEARCH("MWC Allgy:", O105)), "Oklahoma",ISNUMBER(SEARCH("Moore:", O105)), "Oklahoma",ISNUMBER(SEARCH("MooreAllgy:", O105)), "Oklahoma",ISNUMBER(SEARCH("MtPleasant:", O105)), "Texas",ISNUMBER(SEARCH("OccOffsite:", O105)), "Texas",ISNUMBER(SEARCH("Pain Mgmt:", O105)), "Texas",ISNUMBER(SEARCH("Paris:", O105)), "Texas",ISNUMBER(SEARCH("PT:", O105)), "Texas",ISNUMBER(SEARCH("RR Allergy:", O105)), "Texas",ISNUMBER(SEARCH("Sherwood:", O105)), "Arkansas",ISNUMBER(SEARCH("WV:", O105)), "Texas",ISNUMBER(SEARCH("Nur-Home:", O105)), "Texas",ISNUMBER(SEARCH("THC:", O105)), "Texas",ISNUMBER(SEARCH("WVTC:", O105)), "Texas",ISNUMBER(SEARCH("TSC:", O105)), "Texas",ISNUMBER(SEARCH("V-AR Blvd:", O105)), "Arkansas",ISNUMBER(SEARCH("V-Maumelle:", O105)), "Arkansas",ISNUMBER(SEARCH("V-Atlanta:", O105)), "Texas",ISNUMBER(SEARCH("VBlanchard:", O105)), "Louisiana",ISNUMBER(SEARCH("V-Bryant:", O105)), "Arkansas",ISNUMBER(SEARCH("V-Choctaw:", O105)), "Oklahoma",ISNUMBER(SEARCH("V-DeQueen:", O105)), "Arkansas",ISNUMBER(SEARCH("V-Longview:", O105)), "Texas",ISNUMBER(SEARCH("V-Marshall:", O105)), "Texas",ISNUMBER(SEARCH("V-MWC:", O105)), "Oklahoma",ISNUMBER(SEARCH("V-Moore:", O105)), "Oklahoma",ISNUMBER(SEARCH("V-MP:", O105)), "Texas",ISNUMBER(SEARCH("V-Edmond:", O105)), "Oklahoma",ISNUMBER(SEARCH("V-Paris:", O105)), "Texas",ISNUMBER(SEARCH("V-RR:", O105)), "Texas",ISNUMBER(SEARCH("V-Sherwood:", O105)), "Arkansas",ISNUMBER(SEARCH("V-WV:", O105)), "Texas",ISNUMBER(SEARCH("HealthCARE Express - Richmond Road", O105)), "Texas",ISNUMBER(SEARCH("HealthCARE Express - Occupational Medicine", O105)), "Texas")</f>
        <v>Arkansas</v>
      </c>
      <c r="Q105" t="s">
        <v>841</v>
      </c>
      <c r="R105" t="s">
        <v>882</v>
      </c>
      <c r="S105" t="s">
        <v>632</v>
      </c>
      <c r="T105" t="s">
        <v>842</v>
      </c>
      <c r="AF105" t="str" cm="1">
        <f t="array" ref="AF105">IF(SUMPRODUCT(--ISNUMBER(SEARCH("992",T105:AE105)))&gt;0, "E&amp;M", "No E&amp;M")</f>
        <v>E&amp;M</v>
      </c>
      <c r="AG105" t="str">
        <f t="shared" si="7"/>
        <v>99213</v>
      </c>
      <c r="AH105" t="str">
        <f t="shared" si="8"/>
        <v>Estd. Patient</v>
      </c>
      <c r="AI105" t="str">
        <f t="shared" si="9"/>
        <v>Little Rock Region</v>
      </c>
    </row>
    <row r="106" spans="1:35" x14ac:dyDescent="0.3">
      <c r="A106" t="s">
        <v>634</v>
      </c>
      <c r="B106" t="s">
        <v>357</v>
      </c>
      <c r="C106" t="s">
        <v>358</v>
      </c>
      <c r="D106" t="s">
        <v>635</v>
      </c>
      <c r="E106" t="s">
        <v>375</v>
      </c>
      <c r="F106" t="s">
        <v>19</v>
      </c>
      <c r="G106" t="s">
        <v>162</v>
      </c>
      <c r="H106" t="s">
        <v>22</v>
      </c>
      <c r="I106" t="s">
        <v>22</v>
      </c>
      <c r="J106" t="s">
        <v>22</v>
      </c>
      <c r="K106" t="s">
        <v>162</v>
      </c>
      <c r="L106" t="s">
        <v>636</v>
      </c>
      <c r="M106" t="s">
        <v>363</v>
      </c>
      <c r="N106" t="s">
        <v>635</v>
      </c>
      <c r="O106" t="s">
        <v>883</v>
      </c>
      <c r="P106" t="str" cm="1">
        <f t="array" ref="P106">_xlfn.IFS(ISNUMBER(SEARCH("AEIC:", O106)), "Arkansas",ISNUMBER(SEARCH("STM:", O106)), "Texas",ISNUMBER(SEARCH("BILLING:", O106)), "Texas",ISNUMBER(SEARCH("AM:", O106)), "Texas",ISNUMBER(SEARCH("ARBlvd:", O106)), "Arkansas",ISNUMBER(SEARCH("Atlanta:", O106)), "Texas",ISNUMBER(SEARCH("Blanchard:", O106)), "Louisiana",ISNUMBER(SEARCH("Bryant:", O106)), "Arkansas",ISNUMBER(SEARCH("Choctaw:", O106)), "Oklahoma",ISNUMBER(SEARCH("Choc Allgy:", O106)), "Oklahoma",ISNUMBER(SEARCH("DeQueen:", O106)), "Arkansas",ISNUMBER(SEARCH("Edmond:", O106)), "Oklahoma",ISNUMBER(SEARCH("Edmd Aller:", O106)), "Oklahoma",ISNUMBER(SEARCH("Imaging:", O106)), "Texas",ISNUMBER(SEARCH("Longview:", O106)), "Texas",ISNUMBER(SEARCH("Marshall:", O106)), "Texas",ISNUMBER(SEARCH("Mar Allerg:", O106)), "Texas",ISNUMBER(SEARCH("Maumelle:", O106)), "Arkansas",ISNUMBER(SEARCH("MWC:", O106)), "Oklahoma",ISNUMBER(SEARCH("MWC Allgy:", O106)), "Oklahoma",ISNUMBER(SEARCH("Moore:", O106)), "Oklahoma",ISNUMBER(SEARCH("MooreAllgy:", O106)), "Oklahoma",ISNUMBER(SEARCH("MtPleasant:", O106)), "Texas",ISNUMBER(SEARCH("OccOffsite:", O106)), "Texas",ISNUMBER(SEARCH("Pain Mgmt:", O106)), "Texas",ISNUMBER(SEARCH("Paris:", O106)), "Texas",ISNUMBER(SEARCH("PT:", O106)), "Texas",ISNUMBER(SEARCH("RR Allergy:", O106)), "Texas",ISNUMBER(SEARCH("Sherwood:", O106)), "Arkansas",ISNUMBER(SEARCH("WV:", O106)), "Texas",ISNUMBER(SEARCH("Nur-Home:", O106)), "Texas",ISNUMBER(SEARCH("THC:", O106)), "Texas",ISNUMBER(SEARCH("WVTC:", O106)), "Texas",ISNUMBER(SEARCH("TSC:", O106)), "Texas",ISNUMBER(SEARCH("V-AR Blvd:", O106)), "Arkansas",ISNUMBER(SEARCH("V-Maumelle:", O106)), "Arkansas",ISNUMBER(SEARCH("V-Atlanta:", O106)), "Texas",ISNUMBER(SEARCH("VBlanchard:", O106)), "Louisiana",ISNUMBER(SEARCH("V-Bryant:", O106)), "Arkansas",ISNUMBER(SEARCH("V-Choctaw:", O106)), "Oklahoma",ISNUMBER(SEARCH("V-DeQueen:", O106)), "Arkansas",ISNUMBER(SEARCH("V-Longview:", O106)), "Texas",ISNUMBER(SEARCH("V-Marshall:", O106)), "Texas",ISNUMBER(SEARCH("V-MWC:", O106)), "Oklahoma",ISNUMBER(SEARCH("V-Moore:", O106)), "Oklahoma",ISNUMBER(SEARCH("V-MP:", O106)), "Texas",ISNUMBER(SEARCH("V-Edmond:", O106)), "Oklahoma",ISNUMBER(SEARCH("V-Paris:", O106)), "Texas",ISNUMBER(SEARCH("V-RR:", O106)), "Texas",ISNUMBER(SEARCH("V-Sherwood:", O106)), "Arkansas",ISNUMBER(SEARCH("V-WV:", O106)), "Texas",ISNUMBER(SEARCH("HealthCARE Express - Richmond Road", O106)), "Texas",ISNUMBER(SEARCH("HealthCARE Express - Occupational Medicine", O106)), "Texas")</f>
        <v>Arkansas</v>
      </c>
      <c r="Q106" t="s">
        <v>841</v>
      </c>
      <c r="R106" t="s">
        <v>872</v>
      </c>
      <c r="S106" t="s">
        <v>375</v>
      </c>
      <c r="T106" t="s">
        <v>893</v>
      </c>
      <c r="AF106" t="str" cm="1">
        <f t="array" ref="AF106">IF(SUMPRODUCT(--ISNUMBER(SEARCH("992",T106:AE106)))&gt;0, "E&amp;M", "No E&amp;M")</f>
        <v>E&amp;M</v>
      </c>
      <c r="AG106" t="str">
        <f t="shared" si="7"/>
        <v>99203</v>
      </c>
      <c r="AH106" t="str">
        <f t="shared" si="8"/>
        <v>New Patient</v>
      </c>
      <c r="AI106" t="str">
        <f t="shared" si="9"/>
        <v>Little Rock Region</v>
      </c>
    </row>
    <row r="107" spans="1:35" x14ac:dyDescent="0.3">
      <c r="A107" t="s">
        <v>637</v>
      </c>
      <c r="B107" t="s">
        <v>357</v>
      </c>
      <c r="C107" t="s">
        <v>532</v>
      </c>
      <c r="D107" t="s">
        <v>638</v>
      </c>
      <c r="E107" t="s">
        <v>639</v>
      </c>
      <c r="F107" t="s">
        <v>19</v>
      </c>
      <c r="G107" t="s">
        <v>482</v>
      </c>
      <c r="H107" t="s">
        <v>62</v>
      </c>
      <c r="I107" t="s">
        <v>22</v>
      </c>
      <c r="J107" t="s">
        <v>22</v>
      </c>
      <c r="K107" t="s">
        <v>62</v>
      </c>
      <c r="L107" t="s">
        <v>640</v>
      </c>
      <c r="M107" t="s">
        <v>641</v>
      </c>
      <c r="N107" t="s">
        <v>642</v>
      </c>
      <c r="O107" t="s">
        <v>896</v>
      </c>
      <c r="P107" t="str" cm="1">
        <f t="array" ref="P107">_xlfn.IFS(ISNUMBER(SEARCH("AEIC:", O107)), "Arkansas",ISNUMBER(SEARCH("STM:", O107)), "Texas",ISNUMBER(SEARCH("BILLING:", O107)), "Texas",ISNUMBER(SEARCH("AM:", O107)), "Texas",ISNUMBER(SEARCH("ARBlvd:", O107)), "Arkansas",ISNUMBER(SEARCH("Atlanta:", O107)), "Texas",ISNUMBER(SEARCH("Blanchard:", O107)), "Louisiana",ISNUMBER(SEARCH("Bryant:", O107)), "Arkansas",ISNUMBER(SEARCH("Choctaw:", O107)), "Oklahoma",ISNUMBER(SEARCH("Choc Allgy:", O107)), "Oklahoma",ISNUMBER(SEARCH("DeQueen:", O107)), "Arkansas",ISNUMBER(SEARCH("Edmond:", O107)), "Oklahoma",ISNUMBER(SEARCH("Edmd Aller:", O107)), "Oklahoma",ISNUMBER(SEARCH("Imaging:", O107)), "Texas",ISNUMBER(SEARCH("Longview:", O107)), "Texas",ISNUMBER(SEARCH("Marshall:", O107)), "Texas",ISNUMBER(SEARCH("Mar Allerg:", O107)), "Texas",ISNUMBER(SEARCH("Maumelle:", O107)), "Arkansas",ISNUMBER(SEARCH("MWC:", O107)), "Oklahoma",ISNUMBER(SEARCH("MWC Allgy:", O107)), "Oklahoma",ISNUMBER(SEARCH("Moore:", O107)), "Oklahoma",ISNUMBER(SEARCH("MooreAllgy:", O107)), "Oklahoma",ISNUMBER(SEARCH("MtPleasant:", O107)), "Texas",ISNUMBER(SEARCH("OccOffsite:", O107)), "Texas",ISNUMBER(SEARCH("Pain Mgmt:", O107)), "Texas",ISNUMBER(SEARCH("Paris:", O107)), "Texas",ISNUMBER(SEARCH("PT:", O107)), "Texas",ISNUMBER(SEARCH("RR Allergy:", O107)), "Texas",ISNUMBER(SEARCH("Sherwood:", O107)), "Arkansas",ISNUMBER(SEARCH("WV:", O107)), "Texas",ISNUMBER(SEARCH("Nur-Home:", O107)), "Texas",ISNUMBER(SEARCH("THC:", O107)), "Texas",ISNUMBER(SEARCH("WVTC:", O107)), "Texas",ISNUMBER(SEARCH("TSC:", O107)), "Texas",ISNUMBER(SEARCH("V-AR Blvd:", O107)), "Arkansas",ISNUMBER(SEARCH("V-Maumelle:", O107)), "Arkansas",ISNUMBER(SEARCH("V-Atlanta:", O107)), "Texas",ISNUMBER(SEARCH("VBlanchard:", O107)), "Louisiana",ISNUMBER(SEARCH("V-Bryant:", O107)), "Arkansas",ISNUMBER(SEARCH("V-Choctaw:", O107)), "Oklahoma",ISNUMBER(SEARCH("V-DeQueen:", O107)), "Arkansas",ISNUMBER(SEARCH("V-Longview:", O107)), "Texas",ISNUMBER(SEARCH("V-Marshall:", O107)), "Texas",ISNUMBER(SEARCH("V-MWC:", O107)), "Oklahoma",ISNUMBER(SEARCH("V-Moore:", O107)), "Oklahoma",ISNUMBER(SEARCH("V-MP:", O107)), "Texas",ISNUMBER(SEARCH("V-Edmond:", O107)), "Oklahoma",ISNUMBER(SEARCH("V-Paris:", O107)), "Texas",ISNUMBER(SEARCH("V-RR:", O107)), "Texas",ISNUMBER(SEARCH("V-Sherwood:", O107)), "Arkansas",ISNUMBER(SEARCH("V-WV:", O107)), "Texas",ISNUMBER(SEARCH("HealthCARE Express - Richmond Road", O107)), "Texas",ISNUMBER(SEARCH("HealthCARE Express - Occupational Medicine", O107)), "Texas")</f>
        <v>Texas</v>
      </c>
      <c r="Q107" t="s">
        <v>841</v>
      </c>
      <c r="R107" t="s">
        <v>882</v>
      </c>
      <c r="T107" t="s">
        <v>844</v>
      </c>
      <c r="U107" t="s">
        <v>930</v>
      </c>
      <c r="AF107" t="str" cm="1">
        <f t="array" ref="AF107">IF(SUMPRODUCT(--ISNUMBER(SEARCH("992",T107:AE107)))&gt;0, "E&amp;M", "No E&amp;M")</f>
        <v>No E&amp;M</v>
      </c>
      <c r="AG107" t="str">
        <f t="shared" si="7"/>
        <v>No E&amp;M</v>
      </c>
      <c r="AH107" t="str">
        <f t="shared" si="8"/>
        <v>No E&amp;M</v>
      </c>
      <c r="AI107" t="str">
        <f t="shared" si="9"/>
        <v>-</v>
      </c>
    </row>
    <row r="108" spans="1:35" x14ac:dyDescent="0.3">
      <c r="A108" t="s">
        <v>643</v>
      </c>
      <c r="B108" t="s">
        <v>357</v>
      </c>
      <c r="C108" t="s">
        <v>532</v>
      </c>
      <c r="D108" t="s">
        <v>644</v>
      </c>
      <c r="E108" t="s">
        <v>481</v>
      </c>
      <c r="F108" t="s">
        <v>19</v>
      </c>
      <c r="G108" t="s">
        <v>22</v>
      </c>
      <c r="H108" t="s">
        <v>22</v>
      </c>
      <c r="I108" t="s">
        <v>22</v>
      </c>
      <c r="J108" t="s">
        <v>22</v>
      </c>
      <c r="K108" t="s">
        <v>22</v>
      </c>
      <c r="L108" t="s">
        <v>645</v>
      </c>
      <c r="M108" t="s">
        <v>597</v>
      </c>
      <c r="N108" t="s">
        <v>646</v>
      </c>
      <c r="O108" t="s">
        <v>931</v>
      </c>
      <c r="P108" t="str" cm="1">
        <f t="array" ref="P108">_xlfn.IFS(ISNUMBER(SEARCH("AEIC:", O108)), "Arkansas",ISNUMBER(SEARCH("STM:", O108)), "Texas",ISNUMBER(SEARCH("BILLING:", O108)), "Texas",ISNUMBER(SEARCH("AM:", O108)), "Texas",ISNUMBER(SEARCH("ARBlvd:", O108)), "Arkansas",ISNUMBER(SEARCH("Atlanta:", O108)), "Texas",ISNUMBER(SEARCH("Blanchard:", O108)), "Louisiana",ISNUMBER(SEARCH("Bryant:", O108)), "Arkansas",ISNUMBER(SEARCH("Choctaw:", O108)), "Oklahoma",ISNUMBER(SEARCH("Choc Allgy:", O108)), "Oklahoma",ISNUMBER(SEARCH("DeQueen:", O108)), "Arkansas",ISNUMBER(SEARCH("Edmond:", O108)), "Oklahoma",ISNUMBER(SEARCH("Edmd Aller:", O108)), "Oklahoma",ISNUMBER(SEARCH("Imaging:", O108)), "Texas",ISNUMBER(SEARCH("Longview:", O108)), "Texas",ISNUMBER(SEARCH("Marshall:", O108)), "Texas",ISNUMBER(SEARCH("Mar Allerg:", O108)), "Texas",ISNUMBER(SEARCH("Maumelle:", O108)), "Arkansas",ISNUMBER(SEARCH("MWC:", O108)), "Oklahoma",ISNUMBER(SEARCH("MWC Allgy:", O108)), "Oklahoma",ISNUMBER(SEARCH("Moore:", O108)), "Oklahoma",ISNUMBER(SEARCH("MooreAllgy:", O108)), "Oklahoma",ISNUMBER(SEARCH("MtPleasant:", O108)), "Texas",ISNUMBER(SEARCH("OccOffsite:", O108)), "Texas",ISNUMBER(SEARCH("Pain Mgmt:", O108)), "Texas",ISNUMBER(SEARCH("Paris:", O108)), "Texas",ISNUMBER(SEARCH("PT:", O108)), "Texas",ISNUMBER(SEARCH("RR Allergy:", O108)), "Texas",ISNUMBER(SEARCH("Sherwood:", O108)), "Arkansas",ISNUMBER(SEARCH("WV:", O108)), "Texas",ISNUMBER(SEARCH("Nur-Home:", O108)), "Texas",ISNUMBER(SEARCH("THC:", O108)), "Texas",ISNUMBER(SEARCH("WVTC:", O108)), "Texas",ISNUMBER(SEARCH("TSC:", O108)), "Texas",ISNUMBER(SEARCH("V-AR Blvd:", O108)), "Arkansas",ISNUMBER(SEARCH("V-Maumelle:", O108)), "Arkansas",ISNUMBER(SEARCH("V-Atlanta:", O108)), "Texas",ISNUMBER(SEARCH("VBlanchard:", O108)), "Louisiana",ISNUMBER(SEARCH("V-Bryant:", O108)), "Arkansas",ISNUMBER(SEARCH("V-Choctaw:", O108)), "Oklahoma",ISNUMBER(SEARCH("V-DeQueen:", O108)), "Arkansas",ISNUMBER(SEARCH("V-Longview:", O108)), "Texas",ISNUMBER(SEARCH("V-Marshall:", O108)), "Texas",ISNUMBER(SEARCH("V-MWC:", O108)), "Oklahoma",ISNUMBER(SEARCH("V-Moore:", O108)), "Oklahoma",ISNUMBER(SEARCH("V-MP:", O108)), "Texas",ISNUMBER(SEARCH("V-Edmond:", O108)), "Oklahoma",ISNUMBER(SEARCH("V-Paris:", O108)), "Texas",ISNUMBER(SEARCH("V-RR:", O108)), "Texas",ISNUMBER(SEARCH("V-Sherwood:", O108)), "Arkansas",ISNUMBER(SEARCH("V-WV:", O108)), "Texas",ISNUMBER(SEARCH("HealthCARE Express - Richmond Road", O108)), "Texas",ISNUMBER(SEARCH("HealthCARE Express - Occupational Medicine", O108)), "Texas")</f>
        <v>Oklahoma</v>
      </c>
      <c r="Q108" t="s">
        <v>841</v>
      </c>
      <c r="R108" t="s">
        <v>840</v>
      </c>
      <c r="S108" t="s">
        <v>481</v>
      </c>
      <c r="AF108" t="str" cm="1">
        <f t="array" ref="AF108">IF(SUMPRODUCT(--ISNUMBER(SEARCH("992",T108:AE108)))&gt;0, "E&amp;M", "No E&amp;M")</f>
        <v>No E&amp;M</v>
      </c>
      <c r="AG108" t="str">
        <f t="shared" si="7"/>
        <v>No E&amp;M</v>
      </c>
      <c r="AH108" t="str">
        <f t="shared" si="8"/>
        <v>No E&amp;M</v>
      </c>
      <c r="AI108" t="str">
        <f t="shared" si="9"/>
        <v>-</v>
      </c>
    </row>
    <row r="109" spans="1:35" x14ac:dyDescent="0.3">
      <c r="A109" t="s">
        <v>647</v>
      </c>
      <c r="B109" t="s">
        <v>357</v>
      </c>
      <c r="C109" t="s">
        <v>358</v>
      </c>
      <c r="D109" t="s">
        <v>648</v>
      </c>
      <c r="E109" t="s">
        <v>281</v>
      </c>
      <c r="F109" t="s">
        <v>19</v>
      </c>
      <c r="G109" t="s">
        <v>440</v>
      </c>
      <c r="H109" t="s">
        <v>401</v>
      </c>
      <c r="I109" t="s">
        <v>22</v>
      </c>
      <c r="J109" t="s">
        <v>22</v>
      </c>
      <c r="K109" t="s">
        <v>649</v>
      </c>
      <c r="L109" t="s">
        <v>650</v>
      </c>
      <c r="M109" t="s">
        <v>363</v>
      </c>
      <c r="N109" t="s">
        <v>651</v>
      </c>
      <c r="O109" t="s">
        <v>883</v>
      </c>
      <c r="P109" t="str" cm="1">
        <f t="array" ref="P109">_xlfn.IFS(ISNUMBER(SEARCH("AEIC:", O109)), "Arkansas",ISNUMBER(SEARCH("STM:", O109)), "Texas",ISNUMBER(SEARCH("BILLING:", O109)), "Texas",ISNUMBER(SEARCH("AM:", O109)), "Texas",ISNUMBER(SEARCH("ARBlvd:", O109)), "Arkansas",ISNUMBER(SEARCH("Atlanta:", O109)), "Texas",ISNUMBER(SEARCH("Blanchard:", O109)), "Louisiana",ISNUMBER(SEARCH("Bryant:", O109)), "Arkansas",ISNUMBER(SEARCH("Choctaw:", O109)), "Oklahoma",ISNUMBER(SEARCH("Choc Allgy:", O109)), "Oklahoma",ISNUMBER(SEARCH("DeQueen:", O109)), "Arkansas",ISNUMBER(SEARCH("Edmond:", O109)), "Oklahoma",ISNUMBER(SEARCH("Edmd Aller:", O109)), "Oklahoma",ISNUMBER(SEARCH("Imaging:", O109)), "Texas",ISNUMBER(SEARCH("Longview:", O109)), "Texas",ISNUMBER(SEARCH("Marshall:", O109)), "Texas",ISNUMBER(SEARCH("Mar Allerg:", O109)), "Texas",ISNUMBER(SEARCH("Maumelle:", O109)), "Arkansas",ISNUMBER(SEARCH("MWC:", O109)), "Oklahoma",ISNUMBER(SEARCH("MWC Allgy:", O109)), "Oklahoma",ISNUMBER(SEARCH("Moore:", O109)), "Oklahoma",ISNUMBER(SEARCH("MooreAllgy:", O109)), "Oklahoma",ISNUMBER(SEARCH("MtPleasant:", O109)), "Texas",ISNUMBER(SEARCH("OccOffsite:", O109)), "Texas",ISNUMBER(SEARCH("Pain Mgmt:", O109)), "Texas",ISNUMBER(SEARCH("Paris:", O109)), "Texas",ISNUMBER(SEARCH("PT:", O109)), "Texas",ISNUMBER(SEARCH("RR Allergy:", O109)), "Texas",ISNUMBER(SEARCH("Sherwood:", O109)), "Arkansas",ISNUMBER(SEARCH("WV:", O109)), "Texas",ISNUMBER(SEARCH("Nur-Home:", O109)), "Texas",ISNUMBER(SEARCH("THC:", O109)), "Texas",ISNUMBER(SEARCH("WVTC:", O109)), "Texas",ISNUMBER(SEARCH("TSC:", O109)), "Texas",ISNUMBER(SEARCH("V-AR Blvd:", O109)), "Arkansas",ISNUMBER(SEARCH("V-Maumelle:", O109)), "Arkansas",ISNUMBER(SEARCH("V-Atlanta:", O109)), "Texas",ISNUMBER(SEARCH("VBlanchard:", O109)), "Louisiana",ISNUMBER(SEARCH("V-Bryant:", O109)), "Arkansas",ISNUMBER(SEARCH("V-Choctaw:", O109)), "Oklahoma",ISNUMBER(SEARCH("V-DeQueen:", O109)), "Arkansas",ISNUMBER(SEARCH("V-Longview:", O109)), "Texas",ISNUMBER(SEARCH("V-Marshall:", O109)), "Texas",ISNUMBER(SEARCH("V-MWC:", O109)), "Oklahoma",ISNUMBER(SEARCH("V-Moore:", O109)), "Oklahoma",ISNUMBER(SEARCH("V-MP:", O109)), "Texas",ISNUMBER(SEARCH("V-Edmond:", O109)), "Oklahoma",ISNUMBER(SEARCH("V-Paris:", O109)), "Texas",ISNUMBER(SEARCH("V-RR:", O109)), "Texas",ISNUMBER(SEARCH("V-Sherwood:", O109)), "Arkansas",ISNUMBER(SEARCH("V-WV:", O109)), "Texas",ISNUMBER(SEARCH("HealthCARE Express - Richmond Road", O109)), "Texas",ISNUMBER(SEARCH("HealthCARE Express - Occupational Medicine", O109)), "Texas")</f>
        <v>Arkansas</v>
      </c>
      <c r="Q109" t="s">
        <v>841</v>
      </c>
      <c r="R109" t="s">
        <v>879</v>
      </c>
      <c r="S109" t="s">
        <v>281</v>
      </c>
      <c r="T109" t="s">
        <v>848</v>
      </c>
      <c r="AF109" t="str" cm="1">
        <f t="array" ref="AF109">IF(SUMPRODUCT(--ISNUMBER(SEARCH("992",T109:AE109)))&gt;0, "E&amp;M", "No E&amp;M")</f>
        <v>E&amp;M</v>
      </c>
      <c r="AG109" t="str">
        <f t="shared" si="7"/>
        <v>99214</v>
      </c>
      <c r="AH109" t="str">
        <f t="shared" si="8"/>
        <v>Estd. Patient</v>
      </c>
      <c r="AI109" t="str">
        <f t="shared" si="9"/>
        <v>Little Rock Region</v>
      </c>
    </row>
    <row r="110" spans="1:35" x14ac:dyDescent="0.3">
      <c r="A110" t="s">
        <v>652</v>
      </c>
      <c r="B110" t="s">
        <v>357</v>
      </c>
      <c r="C110" t="s">
        <v>219</v>
      </c>
      <c r="D110" t="s">
        <v>653</v>
      </c>
      <c r="E110" t="s">
        <v>654</v>
      </c>
      <c r="F110" t="s">
        <v>19</v>
      </c>
      <c r="G110" t="s">
        <v>22</v>
      </c>
      <c r="H110" t="s">
        <v>22</v>
      </c>
      <c r="I110" t="s">
        <v>22</v>
      </c>
      <c r="J110" t="s">
        <v>22</v>
      </c>
      <c r="K110" t="s">
        <v>22</v>
      </c>
      <c r="L110" t="s">
        <v>655</v>
      </c>
      <c r="M110" t="s">
        <v>223</v>
      </c>
      <c r="N110" t="s">
        <v>653</v>
      </c>
      <c r="O110" t="s">
        <v>908</v>
      </c>
      <c r="P110" t="str" cm="1">
        <f t="array" ref="P110">_xlfn.IFS(ISNUMBER(SEARCH("AEIC:", O110)), "Arkansas",ISNUMBER(SEARCH("STM:", O110)), "Texas",ISNUMBER(SEARCH("BILLING:", O110)), "Texas",ISNUMBER(SEARCH("AM:", O110)), "Texas",ISNUMBER(SEARCH("ARBlvd:", O110)), "Arkansas",ISNUMBER(SEARCH("Atlanta:", O110)), "Texas",ISNUMBER(SEARCH("Blanchard:", O110)), "Louisiana",ISNUMBER(SEARCH("Bryant:", O110)), "Arkansas",ISNUMBER(SEARCH("Choctaw:", O110)), "Oklahoma",ISNUMBER(SEARCH("Choc Allgy:", O110)), "Oklahoma",ISNUMBER(SEARCH("DeQueen:", O110)), "Arkansas",ISNUMBER(SEARCH("Edmond:", O110)), "Oklahoma",ISNUMBER(SEARCH("Edmd Aller:", O110)), "Oklahoma",ISNUMBER(SEARCH("Imaging:", O110)), "Texas",ISNUMBER(SEARCH("Longview:", O110)), "Texas",ISNUMBER(SEARCH("Marshall:", O110)), "Texas",ISNUMBER(SEARCH("Mar Allerg:", O110)), "Texas",ISNUMBER(SEARCH("Maumelle:", O110)), "Arkansas",ISNUMBER(SEARCH("MWC:", O110)), "Oklahoma",ISNUMBER(SEARCH("MWC Allgy:", O110)), "Oklahoma",ISNUMBER(SEARCH("Moore:", O110)), "Oklahoma",ISNUMBER(SEARCH("MooreAllgy:", O110)), "Oklahoma",ISNUMBER(SEARCH("MtPleasant:", O110)), "Texas",ISNUMBER(SEARCH("OccOffsite:", O110)), "Texas",ISNUMBER(SEARCH("Pain Mgmt:", O110)), "Texas",ISNUMBER(SEARCH("Paris:", O110)), "Texas",ISNUMBER(SEARCH("PT:", O110)), "Texas",ISNUMBER(SEARCH("RR Allergy:", O110)), "Texas",ISNUMBER(SEARCH("Sherwood:", O110)), "Arkansas",ISNUMBER(SEARCH("WV:", O110)), "Texas",ISNUMBER(SEARCH("Nur-Home:", O110)), "Texas",ISNUMBER(SEARCH("THC:", O110)), "Texas",ISNUMBER(SEARCH("WVTC:", O110)), "Texas",ISNUMBER(SEARCH("TSC:", O110)), "Texas",ISNUMBER(SEARCH("V-AR Blvd:", O110)), "Arkansas",ISNUMBER(SEARCH("V-Maumelle:", O110)), "Arkansas",ISNUMBER(SEARCH("V-Atlanta:", O110)), "Texas",ISNUMBER(SEARCH("VBlanchard:", O110)), "Louisiana",ISNUMBER(SEARCH("V-Bryant:", O110)), "Arkansas",ISNUMBER(SEARCH("V-Choctaw:", O110)), "Oklahoma",ISNUMBER(SEARCH("V-DeQueen:", O110)), "Arkansas",ISNUMBER(SEARCH("V-Longview:", O110)), "Texas",ISNUMBER(SEARCH("V-Marshall:", O110)), "Texas",ISNUMBER(SEARCH("V-MWC:", O110)), "Oklahoma",ISNUMBER(SEARCH("V-Moore:", O110)), "Oklahoma",ISNUMBER(SEARCH("V-MP:", O110)), "Texas",ISNUMBER(SEARCH("V-Edmond:", O110)), "Oklahoma",ISNUMBER(SEARCH("V-Paris:", O110)), "Texas",ISNUMBER(SEARCH("V-RR:", O110)), "Texas",ISNUMBER(SEARCH("V-Sherwood:", O110)), "Arkansas",ISNUMBER(SEARCH("V-WV:", O110)), "Texas",ISNUMBER(SEARCH("HealthCARE Express - Richmond Road", O110)), "Texas",ISNUMBER(SEARCH("HealthCARE Express - Occupational Medicine", O110)), "Texas")</f>
        <v>Texas</v>
      </c>
      <c r="Q110" t="s">
        <v>841</v>
      </c>
      <c r="R110" t="s">
        <v>892</v>
      </c>
      <c r="S110" t="s">
        <v>654</v>
      </c>
      <c r="AF110" t="str" cm="1">
        <f t="array" ref="AF110">IF(SUMPRODUCT(--ISNUMBER(SEARCH("992",T110:AE110)))&gt;0, "E&amp;M", "No E&amp;M")</f>
        <v>No E&amp;M</v>
      </c>
      <c r="AG110" t="str">
        <f t="shared" si="7"/>
        <v>No E&amp;M</v>
      </c>
      <c r="AH110" t="str">
        <f t="shared" si="8"/>
        <v>No E&amp;M</v>
      </c>
      <c r="AI110" t="str">
        <f t="shared" si="9"/>
        <v>Texas/La/DQ/Ark Blvd</v>
      </c>
    </row>
    <row r="111" spans="1:35" x14ac:dyDescent="0.3">
      <c r="A111" t="s">
        <v>656</v>
      </c>
      <c r="B111" t="s">
        <v>357</v>
      </c>
      <c r="C111" t="s">
        <v>386</v>
      </c>
      <c r="D111" t="s">
        <v>657</v>
      </c>
      <c r="E111" t="s">
        <v>96</v>
      </c>
      <c r="F111" t="s">
        <v>19</v>
      </c>
      <c r="G111" t="s">
        <v>440</v>
      </c>
      <c r="H111" t="s">
        <v>117</v>
      </c>
      <c r="I111" t="s">
        <v>22</v>
      </c>
      <c r="J111" t="s">
        <v>22</v>
      </c>
      <c r="K111" t="s">
        <v>658</v>
      </c>
      <c r="L111" t="s">
        <v>659</v>
      </c>
      <c r="M111" t="s">
        <v>392</v>
      </c>
      <c r="N111" t="s">
        <v>660</v>
      </c>
      <c r="O111" t="s">
        <v>874</v>
      </c>
      <c r="P111" t="str" cm="1">
        <f t="array" ref="P111">_xlfn.IFS(ISNUMBER(SEARCH("AEIC:", O111)), "Arkansas",ISNUMBER(SEARCH("STM:", O111)), "Texas",ISNUMBER(SEARCH("BILLING:", O111)), "Texas",ISNUMBER(SEARCH("AM:", O111)), "Texas",ISNUMBER(SEARCH("ARBlvd:", O111)), "Arkansas",ISNUMBER(SEARCH("Atlanta:", O111)), "Texas",ISNUMBER(SEARCH("Blanchard:", O111)), "Louisiana",ISNUMBER(SEARCH("Bryant:", O111)), "Arkansas",ISNUMBER(SEARCH("Choctaw:", O111)), "Oklahoma",ISNUMBER(SEARCH("Choc Allgy:", O111)), "Oklahoma",ISNUMBER(SEARCH("DeQueen:", O111)), "Arkansas",ISNUMBER(SEARCH("Edmond:", O111)), "Oklahoma",ISNUMBER(SEARCH("Edmd Aller:", O111)), "Oklahoma",ISNUMBER(SEARCH("Imaging:", O111)), "Texas",ISNUMBER(SEARCH("Longview:", O111)), "Texas",ISNUMBER(SEARCH("Marshall:", O111)), "Texas",ISNUMBER(SEARCH("Mar Allerg:", O111)), "Texas",ISNUMBER(SEARCH("Maumelle:", O111)), "Arkansas",ISNUMBER(SEARCH("MWC:", O111)), "Oklahoma",ISNUMBER(SEARCH("MWC Allgy:", O111)), "Oklahoma",ISNUMBER(SEARCH("Moore:", O111)), "Oklahoma",ISNUMBER(SEARCH("MooreAllgy:", O111)), "Oklahoma",ISNUMBER(SEARCH("MtPleasant:", O111)), "Texas",ISNUMBER(SEARCH("OccOffsite:", O111)), "Texas",ISNUMBER(SEARCH("Pain Mgmt:", O111)), "Texas",ISNUMBER(SEARCH("Paris:", O111)), "Texas",ISNUMBER(SEARCH("PT:", O111)), "Texas",ISNUMBER(SEARCH("RR Allergy:", O111)), "Texas",ISNUMBER(SEARCH("Sherwood:", O111)), "Arkansas",ISNUMBER(SEARCH("WV:", O111)), "Texas",ISNUMBER(SEARCH("Nur-Home:", O111)), "Texas",ISNUMBER(SEARCH("THC:", O111)), "Texas",ISNUMBER(SEARCH("WVTC:", O111)), "Texas",ISNUMBER(SEARCH("TSC:", O111)), "Texas",ISNUMBER(SEARCH("V-AR Blvd:", O111)), "Arkansas",ISNUMBER(SEARCH("V-Maumelle:", O111)), "Arkansas",ISNUMBER(SEARCH("V-Atlanta:", O111)), "Texas",ISNUMBER(SEARCH("VBlanchard:", O111)), "Louisiana",ISNUMBER(SEARCH("V-Bryant:", O111)), "Arkansas",ISNUMBER(SEARCH("V-Choctaw:", O111)), "Oklahoma",ISNUMBER(SEARCH("V-DeQueen:", O111)), "Arkansas",ISNUMBER(SEARCH("V-Longview:", O111)), "Texas",ISNUMBER(SEARCH("V-Marshall:", O111)), "Texas",ISNUMBER(SEARCH("V-MWC:", O111)), "Oklahoma",ISNUMBER(SEARCH("V-Moore:", O111)), "Oklahoma",ISNUMBER(SEARCH("V-MP:", O111)), "Texas",ISNUMBER(SEARCH("V-Edmond:", O111)), "Oklahoma",ISNUMBER(SEARCH("V-Paris:", O111)), "Texas",ISNUMBER(SEARCH("V-RR:", O111)), "Texas",ISNUMBER(SEARCH("V-Sherwood:", O111)), "Arkansas",ISNUMBER(SEARCH("V-WV:", O111)), "Texas",ISNUMBER(SEARCH("HealthCARE Express - Richmond Road", O111)), "Texas",ISNUMBER(SEARCH("HealthCARE Express - Occupational Medicine", O111)), "Texas")</f>
        <v>Arkansas</v>
      </c>
      <c r="Q111" t="s">
        <v>841</v>
      </c>
      <c r="R111" t="s">
        <v>879</v>
      </c>
      <c r="S111" t="s">
        <v>96</v>
      </c>
      <c r="T111" t="s">
        <v>848</v>
      </c>
      <c r="AF111" t="str" cm="1">
        <f t="array" ref="AF111">IF(SUMPRODUCT(--ISNUMBER(SEARCH("992",T111:AE111)))&gt;0, "E&amp;M", "No E&amp;M")</f>
        <v>E&amp;M</v>
      </c>
      <c r="AG111" t="str">
        <f t="shared" si="7"/>
        <v>99214</v>
      </c>
      <c r="AH111" t="str">
        <f t="shared" si="8"/>
        <v>Estd. Patient</v>
      </c>
      <c r="AI111" t="str">
        <f t="shared" si="9"/>
        <v>Little Rock Region</v>
      </c>
    </row>
    <row r="112" spans="1:35" x14ac:dyDescent="0.3">
      <c r="A112" t="s">
        <v>661</v>
      </c>
      <c r="B112" t="s">
        <v>357</v>
      </c>
      <c r="C112" t="s">
        <v>170</v>
      </c>
      <c r="D112" t="s">
        <v>662</v>
      </c>
      <c r="E112" t="s">
        <v>663</v>
      </c>
      <c r="F112" t="s">
        <v>19</v>
      </c>
      <c r="G112" t="s">
        <v>440</v>
      </c>
      <c r="H112" t="s">
        <v>22</v>
      </c>
      <c r="I112" t="s">
        <v>22</v>
      </c>
      <c r="J112" t="s">
        <v>22</v>
      </c>
      <c r="K112" t="s">
        <v>440</v>
      </c>
      <c r="L112" t="s">
        <v>664</v>
      </c>
      <c r="M112" t="s">
        <v>175</v>
      </c>
      <c r="N112" t="s">
        <v>665</v>
      </c>
      <c r="O112" t="s">
        <v>846</v>
      </c>
      <c r="P112" t="str" cm="1">
        <f t="array" ref="P112">_xlfn.IFS(ISNUMBER(SEARCH("AEIC:", O112)), "Arkansas",ISNUMBER(SEARCH("STM:", O112)), "Texas",ISNUMBER(SEARCH("BILLING:", O112)), "Texas",ISNUMBER(SEARCH("AM:", O112)), "Texas",ISNUMBER(SEARCH("ARBlvd:", O112)), "Arkansas",ISNUMBER(SEARCH("Atlanta:", O112)), "Texas",ISNUMBER(SEARCH("Blanchard:", O112)), "Louisiana",ISNUMBER(SEARCH("Bryant:", O112)), "Arkansas",ISNUMBER(SEARCH("Choctaw:", O112)), "Oklahoma",ISNUMBER(SEARCH("Choc Allgy:", O112)), "Oklahoma",ISNUMBER(SEARCH("DeQueen:", O112)), "Arkansas",ISNUMBER(SEARCH("Edmond:", O112)), "Oklahoma",ISNUMBER(SEARCH("Edmd Aller:", O112)), "Oklahoma",ISNUMBER(SEARCH("Imaging:", O112)), "Texas",ISNUMBER(SEARCH("Longview:", O112)), "Texas",ISNUMBER(SEARCH("Marshall:", O112)), "Texas",ISNUMBER(SEARCH("Mar Allerg:", O112)), "Texas",ISNUMBER(SEARCH("Maumelle:", O112)), "Arkansas",ISNUMBER(SEARCH("MWC:", O112)), "Oklahoma",ISNUMBER(SEARCH("MWC Allgy:", O112)), "Oklahoma",ISNUMBER(SEARCH("Moore:", O112)), "Oklahoma",ISNUMBER(SEARCH("MooreAllgy:", O112)), "Oklahoma",ISNUMBER(SEARCH("MtPleasant:", O112)), "Texas",ISNUMBER(SEARCH("OccOffsite:", O112)), "Texas",ISNUMBER(SEARCH("Pain Mgmt:", O112)), "Texas",ISNUMBER(SEARCH("Paris:", O112)), "Texas",ISNUMBER(SEARCH("PT:", O112)), "Texas",ISNUMBER(SEARCH("RR Allergy:", O112)), "Texas",ISNUMBER(SEARCH("Sherwood:", O112)), "Arkansas",ISNUMBER(SEARCH("WV:", O112)), "Texas",ISNUMBER(SEARCH("Nur-Home:", O112)), "Texas",ISNUMBER(SEARCH("THC:", O112)), "Texas",ISNUMBER(SEARCH("WVTC:", O112)), "Texas",ISNUMBER(SEARCH("TSC:", O112)), "Texas",ISNUMBER(SEARCH("V-AR Blvd:", O112)), "Arkansas",ISNUMBER(SEARCH("V-Maumelle:", O112)), "Arkansas",ISNUMBER(SEARCH("V-Atlanta:", O112)), "Texas",ISNUMBER(SEARCH("VBlanchard:", O112)), "Louisiana",ISNUMBER(SEARCH("V-Bryant:", O112)), "Arkansas",ISNUMBER(SEARCH("V-Choctaw:", O112)), "Oklahoma",ISNUMBER(SEARCH("V-DeQueen:", O112)), "Arkansas",ISNUMBER(SEARCH("V-Longview:", O112)), "Texas",ISNUMBER(SEARCH("V-Marshall:", O112)), "Texas",ISNUMBER(SEARCH("V-MWC:", O112)), "Oklahoma",ISNUMBER(SEARCH("V-Moore:", O112)), "Oklahoma",ISNUMBER(SEARCH("V-MP:", O112)), "Texas",ISNUMBER(SEARCH("V-Edmond:", O112)), "Oklahoma",ISNUMBER(SEARCH("V-Paris:", O112)), "Texas",ISNUMBER(SEARCH("V-RR:", O112)), "Texas",ISNUMBER(SEARCH("V-Sherwood:", O112)), "Arkansas",ISNUMBER(SEARCH("V-WV:", O112)), "Texas",ISNUMBER(SEARCH("HealthCARE Express - Richmond Road", O112)), "Texas",ISNUMBER(SEARCH("HealthCARE Express - Occupational Medicine", O112)), "Texas")</f>
        <v>Texas</v>
      </c>
      <c r="Q112" t="s">
        <v>841</v>
      </c>
      <c r="R112" t="s">
        <v>892</v>
      </c>
      <c r="S112" t="s">
        <v>663</v>
      </c>
      <c r="T112" t="s">
        <v>893</v>
      </c>
      <c r="U112" t="s">
        <v>894</v>
      </c>
      <c r="V112" t="s">
        <v>895</v>
      </c>
      <c r="AF112" t="str" cm="1">
        <f t="array" ref="AF112">IF(SUMPRODUCT(--ISNUMBER(SEARCH("992",T112:AE112)))&gt;0, "E&amp;M", "No E&amp;M")</f>
        <v>E&amp;M</v>
      </c>
      <c r="AG112" t="str">
        <f t="shared" si="7"/>
        <v>99203</v>
      </c>
      <c r="AH112" t="str">
        <f t="shared" si="8"/>
        <v>New Patient</v>
      </c>
      <c r="AI112" t="str">
        <f t="shared" si="9"/>
        <v>-</v>
      </c>
    </row>
    <row r="113" spans="1:35" x14ac:dyDescent="0.3">
      <c r="A113" t="s">
        <v>666</v>
      </c>
      <c r="B113" t="s">
        <v>357</v>
      </c>
      <c r="C113" t="s">
        <v>667</v>
      </c>
      <c r="D113" t="s">
        <v>668</v>
      </c>
      <c r="E113" t="s">
        <v>124</v>
      </c>
      <c r="F113" t="s">
        <v>19</v>
      </c>
      <c r="G113" t="s">
        <v>71</v>
      </c>
      <c r="H113" t="s">
        <v>213</v>
      </c>
      <c r="I113" t="s">
        <v>22</v>
      </c>
      <c r="J113" t="s">
        <v>22</v>
      </c>
      <c r="K113" t="s">
        <v>669</v>
      </c>
      <c r="L113" t="s">
        <v>670</v>
      </c>
      <c r="M113" t="s">
        <v>671</v>
      </c>
      <c r="N113" t="s">
        <v>672</v>
      </c>
      <c r="O113" t="s">
        <v>931</v>
      </c>
      <c r="P113" t="str" cm="1">
        <f t="array" ref="P113">_xlfn.IFS(ISNUMBER(SEARCH("AEIC:", O113)), "Arkansas",ISNUMBER(SEARCH("STM:", O113)), "Texas",ISNUMBER(SEARCH("BILLING:", O113)), "Texas",ISNUMBER(SEARCH("AM:", O113)), "Texas",ISNUMBER(SEARCH("ARBlvd:", O113)), "Arkansas",ISNUMBER(SEARCH("Atlanta:", O113)), "Texas",ISNUMBER(SEARCH("Blanchard:", O113)), "Louisiana",ISNUMBER(SEARCH("Bryant:", O113)), "Arkansas",ISNUMBER(SEARCH("Choctaw:", O113)), "Oklahoma",ISNUMBER(SEARCH("Choc Allgy:", O113)), "Oklahoma",ISNUMBER(SEARCH("DeQueen:", O113)), "Arkansas",ISNUMBER(SEARCH("Edmond:", O113)), "Oklahoma",ISNUMBER(SEARCH("Edmd Aller:", O113)), "Oklahoma",ISNUMBER(SEARCH("Imaging:", O113)), "Texas",ISNUMBER(SEARCH("Longview:", O113)), "Texas",ISNUMBER(SEARCH("Marshall:", O113)), "Texas",ISNUMBER(SEARCH("Mar Allerg:", O113)), "Texas",ISNUMBER(SEARCH("Maumelle:", O113)), "Arkansas",ISNUMBER(SEARCH("MWC:", O113)), "Oklahoma",ISNUMBER(SEARCH("MWC Allgy:", O113)), "Oklahoma",ISNUMBER(SEARCH("Moore:", O113)), "Oklahoma",ISNUMBER(SEARCH("MooreAllgy:", O113)), "Oklahoma",ISNUMBER(SEARCH("MtPleasant:", O113)), "Texas",ISNUMBER(SEARCH("OccOffsite:", O113)), "Texas",ISNUMBER(SEARCH("Pain Mgmt:", O113)), "Texas",ISNUMBER(SEARCH("Paris:", O113)), "Texas",ISNUMBER(SEARCH("PT:", O113)), "Texas",ISNUMBER(SEARCH("RR Allergy:", O113)), "Texas",ISNUMBER(SEARCH("Sherwood:", O113)), "Arkansas",ISNUMBER(SEARCH("WV:", O113)), "Texas",ISNUMBER(SEARCH("Nur-Home:", O113)), "Texas",ISNUMBER(SEARCH("THC:", O113)), "Texas",ISNUMBER(SEARCH("WVTC:", O113)), "Texas",ISNUMBER(SEARCH("TSC:", O113)), "Texas",ISNUMBER(SEARCH("V-AR Blvd:", O113)), "Arkansas",ISNUMBER(SEARCH("V-Maumelle:", O113)), "Arkansas",ISNUMBER(SEARCH("V-Atlanta:", O113)), "Texas",ISNUMBER(SEARCH("VBlanchard:", O113)), "Louisiana",ISNUMBER(SEARCH("V-Bryant:", O113)), "Arkansas",ISNUMBER(SEARCH("V-Choctaw:", O113)), "Oklahoma",ISNUMBER(SEARCH("V-DeQueen:", O113)), "Arkansas",ISNUMBER(SEARCH("V-Longview:", O113)), "Texas",ISNUMBER(SEARCH("V-Marshall:", O113)), "Texas",ISNUMBER(SEARCH("V-MWC:", O113)), "Oklahoma",ISNUMBER(SEARCH("V-Moore:", O113)), "Oklahoma",ISNUMBER(SEARCH("V-MP:", O113)), "Texas",ISNUMBER(SEARCH("V-Edmond:", O113)), "Oklahoma",ISNUMBER(SEARCH("V-Paris:", O113)), "Texas",ISNUMBER(SEARCH("V-RR:", O113)), "Texas",ISNUMBER(SEARCH("V-Sherwood:", O113)), "Arkansas",ISNUMBER(SEARCH("V-WV:", O113)), "Texas",ISNUMBER(SEARCH("HealthCARE Express - Richmond Road", O113)), "Texas",ISNUMBER(SEARCH("HealthCARE Express - Occupational Medicine", O113)), "Texas")</f>
        <v>Oklahoma</v>
      </c>
      <c r="Q113" t="s">
        <v>841</v>
      </c>
      <c r="R113" t="s">
        <v>847</v>
      </c>
      <c r="S113" t="s">
        <v>124</v>
      </c>
      <c r="T113" t="s">
        <v>848</v>
      </c>
      <c r="U113" t="s">
        <v>843</v>
      </c>
      <c r="V113" t="s">
        <v>873</v>
      </c>
      <c r="AF113" t="str" cm="1">
        <f t="array" ref="AF113">IF(SUMPRODUCT(--ISNUMBER(SEARCH("992",T113:AE113)))&gt;0, "E&amp;M", "No E&amp;M")</f>
        <v>E&amp;M</v>
      </c>
      <c r="AG113" t="str">
        <f t="shared" si="7"/>
        <v>99214</v>
      </c>
      <c r="AH113" t="str">
        <f t="shared" si="8"/>
        <v>Estd. Patient</v>
      </c>
      <c r="AI113" t="str">
        <f t="shared" si="9"/>
        <v>-</v>
      </c>
    </row>
    <row r="114" spans="1:35" x14ac:dyDescent="0.3">
      <c r="A114" t="s">
        <v>673</v>
      </c>
      <c r="B114" t="s">
        <v>357</v>
      </c>
      <c r="C114" t="s">
        <v>109</v>
      </c>
      <c r="D114" t="s">
        <v>674</v>
      </c>
      <c r="E114" t="s">
        <v>375</v>
      </c>
      <c r="F114" t="s">
        <v>19</v>
      </c>
      <c r="G114" t="s">
        <v>274</v>
      </c>
      <c r="H114" t="s">
        <v>22</v>
      </c>
      <c r="I114" t="s">
        <v>22</v>
      </c>
      <c r="J114" t="s">
        <v>22</v>
      </c>
      <c r="K114" t="s">
        <v>274</v>
      </c>
      <c r="L114" t="s">
        <v>675</v>
      </c>
      <c r="M114" t="s">
        <v>113</v>
      </c>
      <c r="N114" t="s">
        <v>674</v>
      </c>
      <c r="O114" t="s">
        <v>878</v>
      </c>
      <c r="P114" t="str" cm="1">
        <f t="array" ref="P114">_xlfn.IFS(ISNUMBER(SEARCH("AEIC:", O114)), "Arkansas",ISNUMBER(SEARCH("STM:", O114)), "Texas",ISNUMBER(SEARCH("BILLING:", O114)), "Texas",ISNUMBER(SEARCH("AM:", O114)), "Texas",ISNUMBER(SEARCH("ARBlvd:", O114)), "Arkansas",ISNUMBER(SEARCH("Atlanta:", O114)), "Texas",ISNUMBER(SEARCH("Blanchard:", O114)), "Louisiana",ISNUMBER(SEARCH("Bryant:", O114)), "Arkansas",ISNUMBER(SEARCH("Choctaw:", O114)), "Oklahoma",ISNUMBER(SEARCH("Choc Allgy:", O114)), "Oklahoma",ISNUMBER(SEARCH("DeQueen:", O114)), "Arkansas",ISNUMBER(SEARCH("Edmond:", O114)), "Oklahoma",ISNUMBER(SEARCH("Edmd Aller:", O114)), "Oklahoma",ISNUMBER(SEARCH("Imaging:", O114)), "Texas",ISNUMBER(SEARCH("Longview:", O114)), "Texas",ISNUMBER(SEARCH("Marshall:", O114)), "Texas",ISNUMBER(SEARCH("Mar Allerg:", O114)), "Texas",ISNUMBER(SEARCH("Maumelle:", O114)), "Arkansas",ISNUMBER(SEARCH("MWC:", O114)), "Oklahoma",ISNUMBER(SEARCH("MWC Allgy:", O114)), "Oklahoma",ISNUMBER(SEARCH("Moore:", O114)), "Oklahoma",ISNUMBER(SEARCH("MooreAllgy:", O114)), "Oklahoma",ISNUMBER(SEARCH("MtPleasant:", O114)), "Texas",ISNUMBER(SEARCH("OccOffsite:", O114)), "Texas",ISNUMBER(SEARCH("Pain Mgmt:", O114)), "Texas",ISNUMBER(SEARCH("Paris:", O114)), "Texas",ISNUMBER(SEARCH("PT:", O114)), "Texas",ISNUMBER(SEARCH("RR Allergy:", O114)), "Texas",ISNUMBER(SEARCH("Sherwood:", O114)), "Arkansas",ISNUMBER(SEARCH("WV:", O114)), "Texas",ISNUMBER(SEARCH("Nur-Home:", O114)), "Texas",ISNUMBER(SEARCH("THC:", O114)), "Texas",ISNUMBER(SEARCH("WVTC:", O114)), "Texas",ISNUMBER(SEARCH("TSC:", O114)), "Texas",ISNUMBER(SEARCH("V-AR Blvd:", O114)), "Arkansas",ISNUMBER(SEARCH("V-Maumelle:", O114)), "Arkansas",ISNUMBER(SEARCH("V-Atlanta:", O114)), "Texas",ISNUMBER(SEARCH("VBlanchard:", O114)), "Louisiana",ISNUMBER(SEARCH("V-Bryant:", O114)), "Arkansas",ISNUMBER(SEARCH("V-Choctaw:", O114)), "Oklahoma",ISNUMBER(SEARCH("V-DeQueen:", O114)), "Arkansas",ISNUMBER(SEARCH("V-Longview:", O114)), "Texas",ISNUMBER(SEARCH("V-Marshall:", O114)), "Texas",ISNUMBER(SEARCH("V-MWC:", O114)), "Oklahoma",ISNUMBER(SEARCH("V-Moore:", O114)), "Oklahoma",ISNUMBER(SEARCH("V-MP:", O114)), "Texas",ISNUMBER(SEARCH("V-Edmond:", O114)), "Oklahoma",ISNUMBER(SEARCH("V-Paris:", O114)), "Texas",ISNUMBER(SEARCH("V-RR:", O114)), "Texas",ISNUMBER(SEARCH("V-Sherwood:", O114)), "Arkansas",ISNUMBER(SEARCH("V-WV:", O114)), "Texas",ISNUMBER(SEARCH("HealthCARE Express - Richmond Road", O114)), "Texas",ISNUMBER(SEARCH("HealthCARE Express - Occupational Medicine", O114)), "Texas")</f>
        <v>Arkansas</v>
      </c>
      <c r="Q114" t="s">
        <v>841</v>
      </c>
      <c r="R114" t="s">
        <v>872</v>
      </c>
      <c r="S114" t="s">
        <v>375</v>
      </c>
      <c r="T114" t="s">
        <v>848</v>
      </c>
      <c r="U114" t="s">
        <v>864</v>
      </c>
      <c r="AF114" t="str" cm="1">
        <f t="array" ref="AF114">IF(SUMPRODUCT(--ISNUMBER(SEARCH("992",T114:AE114)))&gt;0, "E&amp;M", "No E&amp;M")</f>
        <v>E&amp;M</v>
      </c>
      <c r="AG114" t="str">
        <f t="shared" si="7"/>
        <v>99214</v>
      </c>
      <c r="AH114" t="str">
        <f t="shared" si="8"/>
        <v>Estd. Patient</v>
      </c>
      <c r="AI114" t="str">
        <f t="shared" si="9"/>
        <v>Little Rock Region</v>
      </c>
    </row>
    <row r="115" spans="1:35" x14ac:dyDescent="0.3">
      <c r="A115" t="s">
        <v>676</v>
      </c>
      <c r="B115" t="s">
        <v>357</v>
      </c>
      <c r="C115" t="s">
        <v>358</v>
      </c>
      <c r="D115" t="s">
        <v>677</v>
      </c>
      <c r="E115" t="s">
        <v>96</v>
      </c>
      <c r="F115" t="s">
        <v>19</v>
      </c>
      <c r="G115" t="s">
        <v>162</v>
      </c>
      <c r="H115" t="s">
        <v>98</v>
      </c>
      <c r="I115" t="s">
        <v>22</v>
      </c>
      <c r="J115" t="s">
        <v>22</v>
      </c>
      <c r="K115" t="s">
        <v>678</v>
      </c>
      <c r="L115" t="s">
        <v>679</v>
      </c>
      <c r="M115" t="s">
        <v>363</v>
      </c>
      <c r="N115" t="s">
        <v>677</v>
      </c>
      <c r="O115" t="s">
        <v>883</v>
      </c>
      <c r="P115" t="str" cm="1">
        <f t="array" ref="P115">_xlfn.IFS(ISNUMBER(SEARCH("AEIC:", O115)), "Arkansas",ISNUMBER(SEARCH("STM:", O115)), "Texas",ISNUMBER(SEARCH("BILLING:", O115)), "Texas",ISNUMBER(SEARCH("AM:", O115)), "Texas",ISNUMBER(SEARCH("ARBlvd:", O115)), "Arkansas",ISNUMBER(SEARCH("Atlanta:", O115)), "Texas",ISNUMBER(SEARCH("Blanchard:", O115)), "Louisiana",ISNUMBER(SEARCH("Bryant:", O115)), "Arkansas",ISNUMBER(SEARCH("Choctaw:", O115)), "Oklahoma",ISNUMBER(SEARCH("Choc Allgy:", O115)), "Oklahoma",ISNUMBER(SEARCH("DeQueen:", O115)), "Arkansas",ISNUMBER(SEARCH("Edmond:", O115)), "Oklahoma",ISNUMBER(SEARCH("Edmd Aller:", O115)), "Oklahoma",ISNUMBER(SEARCH("Imaging:", O115)), "Texas",ISNUMBER(SEARCH("Longview:", O115)), "Texas",ISNUMBER(SEARCH("Marshall:", O115)), "Texas",ISNUMBER(SEARCH("Mar Allerg:", O115)), "Texas",ISNUMBER(SEARCH("Maumelle:", O115)), "Arkansas",ISNUMBER(SEARCH("MWC:", O115)), "Oklahoma",ISNUMBER(SEARCH("MWC Allgy:", O115)), "Oklahoma",ISNUMBER(SEARCH("Moore:", O115)), "Oklahoma",ISNUMBER(SEARCH("MooreAllgy:", O115)), "Oklahoma",ISNUMBER(SEARCH("MtPleasant:", O115)), "Texas",ISNUMBER(SEARCH("OccOffsite:", O115)), "Texas",ISNUMBER(SEARCH("Pain Mgmt:", O115)), "Texas",ISNUMBER(SEARCH("Paris:", O115)), "Texas",ISNUMBER(SEARCH("PT:", O115)), "Texas",ISNUMBER(SEARCH("RR Allergy:", O115)), "Texas",ISNUMBER(SEARCH("Sherwood:", O115)), "Arkansas",ISNUMBER(SEARCH("WV:", O115)), "Texas",ISNUMBER(SEARCH("Nur-Home:", O115)), "Texas",ISNUMBER(SEARCH("THC:", O115)), "Texas",ISNUMBER(SEARCH("WVTC:", O115)), "Texas",ISNUMBER(SEARCH("TSC:", O115)), "Texas",ISNUMBER(SEARCH("V-AR Blvd:", O115)), "Arkansas",ISNUMBER(SEARCH("V-Maumelle:", O115)), "Arkansas",ISNUMBER(SEARCH("V-Atlanta:", O115)), "Texas",ISNUMBER(SEARCH("VBlanchard:", O115)), "Louisiana",ISNUMBER(SEARCH("V-Bryant:", O115)), "Arkansas",ISNUMBER(SEARCH("V-Choctaw:", O115)), "Oklahoma",ISNUMBER(SEARCH("V-DeQueen:", O115)), "Arkansas",ISNUMBER(SEARCH("V-Longview:", O115)), "Texas",ISNUMBER(SEARCH("V-Marshall:", O115)), "Texas",ISNUMBER(SEARCH("V-MWC:", O115)), "Oklahoma",ISNUMBER(SEARCH("V-Moore:", O115)), "Oklahoma",ISNUMBER(SEARCH("V-MP:", O115)), "Texas",ISNUMBER(SEARCH("V-Edmond:", O115)), "Oklahoma",ISNUMBER(SEARCH("V-Paris:", O115)), "Texas",ISNUMBER(SEARCH("V-RR:", O115)), "Texas",ISNUMBER(SEARCH("V-Sherwood:", O115)), "Arkansas",ISNUMBER(SEARCH("V-WV:", O115)), "Texas",ISNUMBER(SEARCH("HealthCARE Express - Richmond Road", O115)), "Texas",ISNUMBER(SEARCH("HealthCARE Express - Occupational Medicine", O115)), "Texas")</f>
        <v>Arkansas</v>
      </c>
      <c r="Q115" t="s">
        <v>841</v>
      </c>
      <c r="R115" t="s">
        <v>879</v>
      </c>
      <c r="S115" t="s">
        <v>96</v>
      </c>
      <c r="T115" t="s">
        <v>893</v>
      </c>
      <c r="AF115" t="str" cm="1">
        <f t="array" ref="AF115">IF(SUMPRODUCT(--ISNUMBER(SEARCH("992",T115:AE115)))&gt;0, "E&amp;M", "No E&amp;M")</f>
        <v>E&amp;M</v>
      </c>
      <c r="AG115" t="str">
        <f t="shared" si="7"/>
        <v>99203</v>
      </c>
      <c r="AH115" t="str">
        <f t="shared" si="8"/>
        <v>New Patient</v>
      </c>
      <c r="AI115" t="str">
        <f t="shared" si="9"/>
        <v>Little Rock Region</v>
      </c>
    </row>
    <row r="116" spans="1:35" x14ac:dyDescent="0.3">
      <c r="A116" t="s">
        <v>680</v>
      </c>
      <c r="B116" t="s">
        <v>357</v>
      </c>
      <c r="C116" t="s">
        <v>386</v>
      </c>
      <c r="D116" t="s">
        <v>681</v>
      </c>
      <c r="E116" t="s">
        <v>554</v>
      </c>
      <c r="F116" t="s">
        <v>19</v>
      </c>
      <c r="G116" t="s">
        <v>586</v>
      </c>
      <c r="H116" t="s">
        <v>62</v>
      </c>
      <c r="I116" t="s">
        <v>22</v>
      </c>
      <c r="J116" t="s">
        <v>22</v>
      </c>
      <c r="K116" t="s">
        <v>141</v>
      </c>
      <c r="L116" t="s">
        <v>682</v>
      </c>
      <c r="M116" t="s">
        <v>392</v>
      </c>
      <c r="N116" t="s">
        <v>681</v>
      </c>
      <c r="O116" t="s">
        <v>874</v>
      </c>
      <c r="P116" t="str" cm="1">
        <f t="array" ref="P116">_xlfn.IFS(ISNUMBER(SEARCH("AEIC:", O116)), "Arkansas",ISNUMBER(SEARCH("STM:", O116)), "Texas",ISNUMBER(SEARCH("BILLING:", O116)), "Texas",ISNUMBER(SEARCH("AM:", O116)), "Texas",ISNUMBER(SEARCH("ARBlvd:", O116)), "Arkansas",ISNUMBER(SEARCH("Atlanta:", O116)), "Texas",ISNUMBER(SEARCH("Blanchard:", O116)), "Louisiana",ISNUMBER(SEARCH("Bryant:", O116)), "Arkansas",ISNUMBER(SEARCH("Choctaw:", O116)), "Oklahoma",ISNUMBER(SEARCH("Choc Allgy:", O116)), "Oklahoma",ISNUMBER(SEARCH("DeQueen:", O116)), "Arkansas",ISNUMBER(SEARCH("Edmond:", O116)), "Oklahoma",ISNUMBER(SEARCH("Edmd Aller:", O116)), "Oklahoma",ISNUMBER(SEARCH("Imaging:", O116)), "Texas",ISNUMBER(SEARCH("Longview:", O116)), "Texas",ISNUMBER(SEARCH("Marshall:", O116)), "Texas",ISNUMBER(SEARCH("Mar Allerg:", O116)), "Texas",ISNUMBER(SEARCH("Maumelle:", O116)), "Arkansas",ISNUMBER(SEARCH("MWC:", O116)), "Oklahoma",ISNUMBER(SEARCH("MWC Allgy:", O116)), "Oklahoma",ISNUMBER(SEARCH("Moore:", O116)), "Oklahoma",ISNUMBER(SEARCH("MooreAllgy:", O116)), "Oklahoma",ISNUMBER(SEARCH("MtPleasant:", O116)), "Texas",ISNUMBER(SEARCH("OccOffsite:", O116)), "Texas",ISNUMBER(SEARCH("Pain Mgmt:", O116)), "Texas",ISNUMBER(SEARCH("Paris:", O116)), "Texas",ISNUMBER(SEARCH("PT:", O116)), "Texas",ISNUMBER(SEARCH("RR Allergy:", O116)), "Texas",ISNUMBER(SEARCH("Sherwood:", O116)), "Arkansas",ISNUMBER(SEARCH("WV:", O116)), "Texas",ISNUMBER(SEARCH("Nur-Home:", O116)), "Texas",ISNUMBER(SEARCH("THC:", O116)), "Texas",ISNUMBER(SEARCH("WVTC:", O116)), "Texas",ISNUMBER(SEARCH("TSC:", O116)), "Texas",ISNUMBER(SEARCH("V-AR Blvd:", O116)), "Arkansas",ISNUMBER(SEARCH("V-Maumelle:", O116)), "Arkansas",ISNUMBER(SEARCH("V-Atlanta:", O116)), "Texas",ISNUMBER(SEARCH("VBlanchard:", O116)), "Louisiana",ISNUMBER(SEARCH("V-Bryant:", O116)), "Arkansas",ISNUMBER(SEARCH("V-Choctaw:", O116)), "Oklahoma",ISNUMBER(SEARCH("V-DeQueen:", O116)), "Arkansas",ISNUMBER(SEARCH("V-Longview:", O116)), "Texas",ISNUMBER(SEARCH("V-Marshall:", O116)), "Texas",ISNUMBER(SEARCH("V-MWC:", O116)), "Oklahoma",ISNUMBER(SEARCH("V-Moore:", O116)), "Oklahoma",ISNUMBER(SEARCH("V-MP:", O116)), "Texas",ISNUMBER(SEARCH("V-Edmond:", O116)), "Oklahoma",ISNUMBER(SEARCH("V-Paris:", O116)), "Texas",ISNUMBER(SEARCH("V-RR:", O116)), "Texas",ISNUMBER(SEARCH("V-Sherwood:", O116)), "Arkansas",ISNUMBER(SEARCH("V-WV:", O116)), "Texas",ISNUMBER(SEARCH("HealthCARE Express - Richmond Road", O116)), "Texas",ISNUMBER(SEARCH("HealthCARE Express - Occupational Medicine", O116)), "Texas")</f>
        <v>Arkansas</v>
      </c>
      <c r="Q116" t="s">
        <v>841</v>
      </c>
      <c r="R116" t="s">
        <v>868</v>
      </c>
      <c r="S116" t="s">
        <v>554</v>
      </c>
      <c r="T116" t="s">
        <v>848</v>
      </c>
      <c r="U116" t="s">
        <v>844</v>
      </c>
      <c r="V116" t="s">
        <v>934</v>
      </c>
      <c r="AF116" t="str" cm="1">
        <f t="array" ref="AF116">IF(SUMPRODUCT(--ISNUMBER(SEARCH("992",T116:AE116)))&gt;0, "E&amp;M", "No E&amp;M")</f>
        <v>E&amp;M</v>
      </c>
      <c r="AG116" t="str">
        <f t="shared" si="7"/>
        <v>99214</v>
      </c>
      <c r="AH116" t="str">
        <f t="shared" si="8"/>
        <v>Estd. Patient</v>
      </c>
      <c r="AI116" t="str">
        <f t="shared" si="9"/>
        <v>Little Rock Region</v>
      </c>
    </row>
    <row r="117" spans="1:35" x14ac:dyDescent="0.3">
      <c r="A117" t="s">
        <v>683</v>
      </c>
      <c r="B117" t="s">
        <v>357</v>
      </c>
      <c r="C117" t="s">
        <v>109</v>
      </c>
      <c r="D117" t="s">
        <v>684</v>
      </c>
      <c r="E117" t="s">
        <v>96</v>
      </c>
      <c r="F117" t="s">
        <v>19</v>
      </c>
      <c r="G117" t="s">
        <v>274</v>
      </c>
      <c r="H117" t="s">
        <v>22</v>
      </c>
      <c r="I117" t="s">
        <v>22</v>
      </c>
      <c r="J117" t="s">
        <v>22</v>
      </c>
      <c r="K117" t="s">
        <v>274</v>
      </c>
      <c r="L117" t="s">
        <v>685</v>
      </c>
      <c r="M117" t="s">
        <v>113</v>
      </c>
      <c r="N117" t="s">
        <v>684</v>
      </c>
      <c r="O117" t="s">
        <v>878</v>
      </c>
      <c r="P117" t="str" cm="1">
        <f t="array" ref="P117">_xlfn.IFS(ISNUMBER(SEARCH("AEIC:", O117)), "Arkansas",ISNUMBER(SEARCH("STM:", O117)), "Texas",ISNUMBER(SEARCH("BILLING:", O117)), "Texas",ISNUMBER(SEARCH("AM:", O117)), "Texas",ISNUMBER(SEARCH("ARBlvd:", O117)), "Arkansas",ISNUMBER(SEARCH("Atlanta:", O117)), "Texas",ISNUMBER(SEARCH("Blanchard:", O117)), "Louisiana",ISNUMBER(SEARCH("Bryant:", O117)), "Arkansas",ISNUMBER(SEARCH("Choctaw:", O117)), "Oklahoma",ISNUMBER(SEARCH("Choc Allgy:", O117)), "Oklahoma",ISNUMBER(SEARCH("DeQueen:", O117)), "Arkansas",ISNUMBER(SEARCH("Edmond:", O117)), "Oklahoma",ISNUMBER(SEARCH("Edmd Aller:", O117)), "Oklahoma",ISNUMBER(SEARCH("Imaging:", O117)), "Texas",ISNUMBER(SEARCH("Longview:", O117)), "Texas",ISNUMBER(SEARCH("Marshall:", O117)), "Texas",ISNUMBER(SEARCH("Mar Allerg:", O117)), "Texas",ISNUMBER(SEARCH("Maumelle:", O117)), "Arkansas",ISNUMBER(SEARCH("MWC:", O117)), "Oklahoma",ISNUMBER(SEARCH("MWC Allgy:", O117)), "Oklahoma",ISNUMBER(SEARCH("Moore:", O117)), "Oklahoma",ISNUMBER(SEARCH("MooreAllgy:", O117)), "Oklahoma",ISNUMBER(SEARCH("MtPleasant:", O117)), "Texas",ISNUMBER(SEARCH("OccOffsite:", O117)), "Texas",ISNUMBER(SEARCH("Pain Mgmt:", O117)), "Texas",ISNUMBER(SEARCH("Paris:", O117)), "Texas",ISNUMBER(SEARCH("PT:", O117)), "Texas",ISNUMBER(SEARCH("RR Allergy:", O117)), "Texas",ISNUMBER(SEARCH("Sherwood:", O117)), "Arkansas",ISNUMBER(SEARCH("WV:", O117)), "Texas",ISNUMBER(SEARCH("Nur-Home:", O117)), "Texas",ISNUMBER(SEARCH("THC:", O117)), "Texas",ISNUMBER(SEARCH("WVTC:", O117)), "Texas",ISNUMBER(SEARCH("TSC:", O117)), "Texas",ISNUMBER(SEARCH("V-AR Blvd:", O117)), "Arkansas",ISNUMBER(SEARCH("V-Maumelle:", O117)), "Arkansas",ISNUMBER(SEARCH("V-Atlanta:", O117)), "Texas",ISNUMBER(SEARCH("VBlanchard:", O117)), "Louisiana",ISNUMBER(SEARCH("V-Bryant:", O117)), "Arkansas",ISNUMBER(SEARCH("V-Choctaw:", O117)), "Oklahoma",ISNUMBER(SEARCH("V-DeQueen:", O117)), "Arkansas",ISNUMBER(SEARCH("V-Longview:", O117)), "Texas",ISNUMBER(SEARCH("V-Marshall:", O117)), "Texas",ISNUMBER(SEARCH("V-MWC:", O117)), "Oklahoma",ISNUMBER(SEARCH("V-Moore:", O117)), "Oklahoma",ISNUMBER(SEARCH("V-MP:", O117)), "Texas",ISNUMBER(SEARCH("V-Edmond:", O117)), "Oklahoma",ISNUMBER(SEARCH("V-Paris:", O117)), "Texas",ISNUMBER(SEARCH("V-RR:", O117)), "Texas",ISNUMBER(SEARCH("V-Sherwood:", O117)), "Arkansas",ISNUMBER(SEARCH("V-WV:", O117)), "Texas",ISNUMBER(SEARCH("HealthCARE Express - Richmond Road", O117)), "Texas",ISNUMBER(SEARCH("HealthCARE Express - Occupational Medicine", O117)), "Texas")</f>
        <v>Arkansas</v>
      </c>
      <c r="Q117" t="s">
        <v>841</v>
      </c>
      <c r="R117" t="s">
        <v>879</v>
      </c>
      <c r="S117" t="s">
        <v>96</v>
      </c>
      <c r="T117" t="s">
        <v>848</v>
      </c>
      <c r="U117" t="s">
        <v>864</v>
      </c>
      <c r="AF117" t="str" cm="1">
        <f t="array" ref="AF117">IF(SUMPRODUCT(--ISNUMBER(SEARCH("992",T117:AE117)))&gt;0, "E&amp;M", "No E&amp;M")</f>
        <v>E&amp;M</v>
      </c>
      <c r="AG117" t="str">
        <f t="shared" si="7"/>
        <v>99214</v>
      </c>
      <c r="AH117" t="str">
        <f t="shared" si="8"/>
        <v>Estd. Patient</v>
      </c>
      <c r="AI117" t="str">
        <f t="shared" si="9"/>
        <v>Little Rock Region</v>
      </c>
    </row>
    <row r="118" spans="1:35" x14ac:dyDescent="0.3">
      <c r="A118" t="s">
        <v>686</v>
      </c>
      <c r="B118" t="s">
        <v>357</v>
      </c>
      <c r="C118" t="s">
        <v>532</v>
      </c>
      <c r="D118" t="s">
        <v>687</v>
      </c>
      <c r="E118" t="s">
        <v>688</v>
      </c>
      <c r="F118" t="s">
        <v>19</v>
      </c>
      <c r="G118" t="s">
        <v>689</v>
      </c>
      <c r="H118" t="s">
        <v>22</v>
      </c>
      <c r="I118" t="s">
        <v>22</v>
      </c>
      <c r="J118" t="s">
        <v>22</v>
      </c>
      <c r="K118" t="s">
        <v>689</v>
      </c>
      <c r="L118" t="s">
        <v>690</v>
      </c>
      <c r="M118" t="s">
        <v>691</v>
      </c>
      <c r="N118" t="s">
        <v>687</v>
      </c>
      <c r="O118" t="s">
        <v>874</v>
      </c>
      <c r="P118" t="str" cm="1">
        <f t="array" ref="P118">_xlfn.IFS(ISNUMBER(SEARCH("AEIC:", O118)), "Arkansas",ISNUMBER(SEARCH("STM:", O118)), "Texas",ISNUMBER(SEARCH("BILLING:", O118)), "Texas",ISNUMBER(SEARCH("AM:", O118)), "Texas",ISNUMBER(SEARCH("ARBlvd:", O118)), "Arkansas",ISNUMBER(SEARCH("Atlanta:", O118)), "Texas",ISNUMBER(SEARCH("Blanchard:", O118)), "Louisiana",ISNUMBER(SEARCH("Bryant:", O118)), "Arkansas",ISNUMBER(SEARCH("Choctaw:", O118)), "Oklahoma",ISNUMBER(SEARCH("Choc Allgy:", O118)), "Oklahoma",ISNUMBER(SEARCH("DeQueen:", O118)), "Arkansas",ISNUMBER(SEARCH("Edmond:", O118)), "Oklahoma",ISNUMBER(SEARCH("Edmd Aller:", O118)), "Oklahoma",ISNUMBER(SEARCH("Imaging:", O118)), "Texas",ISNUMBER(SEARCH("Longview:", O118)), "Texas",ISNUMBER(SEARCH("Marshall:", O118)), "Texas",ISNUMBER(SEARCH("Mar Allerg:", O118)), "Texas",ISNUMBER(SEARCH("Maumelle:", O118)), "Arkansas",ISNUMBER(SEARCH("MWC:", O118)), "Oklahoma",ISNUMBER(SEARCH("MWC Allgy:", O118)), "Oklahoma",ISNUMBER(SEARCH("Moore:", O118)), "Oklahoma",ISNUMBER(SEARCH("MooreAllgy:", O118)), "Oklahoma",ISNUMBER(SEARCH("MtPleasant:", O118)), "Texas",ISNUMBER(SEARCH("OccOffsite:", O118)), "Texas",ISNUMBER(SEARCH("Pain Mgmt:", O118)), "Texas",ISNUMBER(SEARCH("Paris:", O118)), "Texas",ISNUMBER(SEARCH("PT:", O118)), "Texas",ISNUMBER(SEARCH("RR Allergy:", O118)), "Texas",ISNUMBER(SEARCH("Sherwood:", O118)), "Arkansas",ISNUMBER(SEARCH("WV:", O118)), "Texas",ISNUMBER(SEARCH("Nur-Home:", O118)), "Texas",ISNUMBER(SEARCH("THC:", O118)), "Texas",ISNUMBER(SEARCH("WVTC:", O118)), "Texas",ISNUMBER(SEARCH("TSC:", O118)), "Texas",ISNUMBER(SEARCH("V-AR Blvd:", O118)), "Arkansas",ISNUMBER(SEARCH("V-Maumelle:", O118)), "Arkansas",ISNUMBER(SEARCH("V-Atlanta:", O118)), "Texas",ISNUMBER(SEARCH("VBlanchard:", O118)), "Louisiana",ISNUMBER(SEARCH("V-Bryant:", O118)), "Arkansas",ISNUMBER(SEARCH("V-Choctaw:", O118)), "Oklahoma",ISNUMBER(SEARCH("V-DeQueen:", O118)), "Arkansas",ISNUMBER(SEARCH("V-Longview:", O118)), "Texas",ISNUMBER(SEARCH("V-Marshall:", O118)), "Texas",ISNUMBER(SEARCH("V-MWC:", O118)), "Oklahoma",ISNUMBER(SEARCH("V-Moore:", O118)), "Oklahoma",ISNUMBER(SEARCH("V-MP:", O118)), "Texas",ISNUMBER(SEARCH("V-Edmond:", O118)), "Oklahoma",ISNUMBER(SEARCH("V-Paris:", O118)), "Texas",ISNUMBER(SEARCH("V-RR:", O118)), "Texas",ISNUMBER(SEARCH("V-Sherwood:", O118)), "Arkansas",ISNUMBER(SEARCH("V-WV:", O118)), "Texas",ISNUMBER(SEARCH("HealthCARE Express - Richmond Road", O118)), "Texas",ISNUMBER(SEARCH("HealthCARE Express - Occupational Medicine", O118)), "Texas")</f>
        <v>Arkansas</v>
      </c>
      <c r="Q118" t="s">
        <v>841</v>
      </c>
      <c r="R118" t="s">
        <v>532</v>
      </c>
      <c r="S118" t="s">
        <v>688</v>
      </c>
      <c r="T118" t="s">
        <v>857</v>
      </c>
      <c r="U118" t="s">
        <v>925</v>
      </c>
      <c r="V118" t="s">
        <v>924</v>
      </c>
      <c r="AF118" t="str" cm="1">
        <f t="array" ref="AF118">IF(SUMPRODUCT(--ISNUMBER(SEARCH("992",T118:AE118)))&gt;0, "E&amp;M", "No E&amp;M")</f>
        <v>E&amp;M</v>
      </c>
      <c r="AG118" t="str">
        <f t="shared" si="7"/>
        <v>99204</v>
      </c>
      <c r="AH118" t="str">
        <f t="shared" si="8"/>
        <v>New Patient</v>
      </c>
      <c r="AI118" t="str">
        <f t="shared" si="9"/>
        <v>-</v>
      </c>
    </row>
    <row r="119" spans="1:35" x14ac:dyDescent="0.3">
      <c r="A119" t="s">
        <v>692</v>
      </c>
      <c r="B119" t="s">
        <v>357</v>
      </c>
      <c r="C119" t="s">
        <v>386</v>
      </c>
      <c r="D119" t="s">
        <v>693</v>
      </c>
      <c r="E119" t="s">
        <v>96</v>
      </c>
      <c r="F119" t="s">
        <v>19</v>
      </c>
      <c r="G119" t="s">
        <v>440</v>
      </c>
      <c r="H119" t="s">
        <v>47</v>
      </c>
      <c r="I119" t="s">
        <v>22</v>
      </c>
      <c r="J119" t="s">
        <v>22</v>
      </c>
      <c r="K119" t="s">
        <v>694</v>
      </c>
      <c r="L119" t="s">
        <v>695</v>
      </c>
      <c r="M119" t="s">
        <v>392</v>
      </c>
      <c r="N119" t="s">
        <v>696</v>
      </c>
      <c r="O119" t="s">
        <v>874</v>
      </c>
      <c r="P119" t="str" cm="1">
        <f t="array" ref="P119">_xlfn.IFS(ISNUMBER(SEARCH("AEIC:", O119)), "Arkansas",ISNUMBER(SEARCH("STM:", O119)), "Texas",ISNUMBER(SEARCH("BILLING:", O119)), "Texas",ISNUMBER(SEARCH("AM:", O119)), "Texas",ISNUMBER(SEARCH("ARBlvd:", O119)), "Arkansas",ISNUMBER(SEARCH("Atlanta:", O119)), "Texas",ISNUMBER(SEARCH("Blanchard:", O119)), "Louisiana",ISNUMBER(SEARCH("Bryant:", O119)), "Arkansas",ISNUMBER(SEARCH("Choctaw:", O119)), "Oklahoma",ISNUMBER(SEARCH("Choc Allgy:", O119)), "Oklahoma",ISNUMBER(SEARCH("DeQueen:", O119)), "Arkansas",ISNUMBER(SEARCH("Edmond:", O119)), "Oklahoma",ISNUMBER(SEARCH("Edmd Aller:", O119)), "Oklahoma",ISNUMBER(SEARCH("Imaging:", O119)), "Texas",ISNUMBER(SEARCH("Longview:", O119)), "Texas",ISNUMBER(SEARCH("Marshall:", O119)), "Texas",ISNUMBER(SEARCH("Mar Allerg:", O119)), "Texas",ISNUMBER(SEARCH("Maumelle:", O119)), "Arkansas",ISNUMBER(SEARCH("MWC:", O119)), "Oklahoma",ISNUMBER(SEARCH("MWC Allgy:", O119)), "Oklahoma",ISNUMBER(SEARCH("Moore:", O119)), "Oklahoma",ISNUMBER(SEARCH("MooreAllgy:", O119)), "Oklahoma",ISNUMBER(SEARCH("MtPleasant:", O119)), "Texas",ISNUMBER(SEARCH("OccOffsite:", O119)), "Texas",ISNUMBER(SEARCH("Pain Mgmt:", O119)), "Texas",ISNUMBER(SEARCH("Paris:", O119)), "Texas",ISNUMBER(SEARCH("PT:", O119)), "Texas",ISNUMBER(SEARCH("RR Allergy:", O119)), "Texas",ISNUMBER(SEARCH("Sherwood:", O119)), "Arkansas",ISNUMBER(SEARCH("WV:", O119)), "Texas",ISNUMBER(SEARCH("Nur-Home:", O119)), "Texas",ISNUMBER(SEARCH("THC:", O119)), "Texas",ISNUMBER(SEARCH("WVTC:", O119)), "Texas",ISNUMBER(SEARCH("TSC:", O119)), "Texas",ISNUMBER(SEARCH("V-AR Blvd:", O119)), "Arkansas",ISNUMBER(SEARCH("V-Maumelle:", O119)), "Arkansas",ISNUMBER(SEARCH("V-Atlanta:", O119)), "Texas",ISNUMBER(SEARCH("VBlanchard:", O119)), "Louisiana",ISNUMBER(SEARCH("V-Bryant:", O119)), "Arkansas",ISNUMBER(SEARCH("V-Choctaw:", O119)), "Oklahoma",ISNUMBER(SEARCH("V-DeQueen:", O119)), "Arkansas",ISNUMBER(SEARCH("V-Longview:", O119)), "Texas",ISNUMBER(SEARCH("V-Marshall:", O119)), "Texas",ISNUMBER(SEARCH("V-MWC:", O119)), "Oklahoma",ISNUMBER(SEARCH("V-Moore:", O119)), "Oklahoma",ISNUMBER(SEARCH("V-MP:", O119)), "Texas",ISNUMBER(SEARCH("V-Edmond:", O119)), "Oklahoma",ISNUMBER(SEARCH("V-Paris:", O119)), "Texas",ISNUMBER(SEARCH("V-RR:", O119)), "Texas",ISNUMBER(SEARCH("V-Sherwood:", O119)), "Arkansas",ISNUMBER(SEARCH("V-WV:", O119)), "Texas",ISNUMBER(SEARCH("HealthCARE Express - Richmond Road", O119)), "Texas",ISNUMBER(SEARCH("HealthCARE Express - Occupational Medicine", O119)), "Texas")</f>
        <v>Arkansas</v>
      </c>
      <c r="Q119" t="s">
        <v>841</v>
      </c>
      <c r="R119" t="s">
        <v>879</v>
      </c>
      <c r="S119" t="s">
        <v>96</v>
      </c>
      <c r="T119" t="s">
        <v>848</v>
      </c>
      <c r="AF119" t="str" cm="1">
        <f t="array" ref="AF119">IF(SUMPRODUCT(--ISNUMBER(SEARCH("992",T119:AE119)))&gt;0, "E&amp;M", "No E&amp;M")</f>
        <v>E&amp;M</v>
      </c>
      <c r="AG119" t="str">
        <f t="shared" si="7"/>
        <v>99214</v>
      </c>
      <c r="AH119" t="str">
        <f t="shared" si="8"/>
        <v>Estd. Patient</v>
      </c>
      <c r="AI119" t="str">
        <f t="shared" si="9"/>
        <v>Little Rock Region</v>
      </c>
    </row>
    <row r="120" spans="1:35" x14ac:dyDescent="0.3">
      <c r="A120" t="s">
        <v>697</v>
      </c>
      <c r="B120" t="s">
        <v>357</v>
      </c>
      <c r="C120" t="s">
        <v>386</v>
      </c>
      <c r="D120" t="s">
        <v>698</v>
      </c>
      <c r="E120" t="s">
        <v>699</v>
      </c>
      <c r="F120" t="s">
        <v>19</v>
      </c>
      <c r="G120" t="s">
        <v>700</v>
      </c>
      <c r="H120" t="s">
        <v>47</v>
      </c>
      <c r="I120" t="s">
        <v>22</v>
      </c>
      <c r="J120" t="s">
        <v>22</v>
      </c>
      <c r="K120" t="s">
        <v>701</v>
      </c>
      <c r="L120" t="s">
        <v>702</v>
      </c>
      <c r="M120" t="s">
        <v>392</v>
      </c>
      <c r="N120" t="s">
        <v>698</v>
      </c>
      <c r="O120" t="s">
        <v>874</v>
      </c>
      <c r="P120" t="str" cm="1">
        <f t="array" ref="P120">_xlfn.IFS(ISNUMBER(SEARCH("AEIC:", O120)), "Arkansas",ISNUMBER(SEARCH("STM:", O120)), "Texas",ISNUMBER(SEARCH("BILLING:", O120)), "Texas",ISNUMBER(SEARCH("AM:", O120)), "Texas",ISNUMBER(SEARCH("ARBlvd:", O120)), "Arkansas",ISNUMBER(SEARCH("Atlanta:", O120)), "Texas",ISNUMBER(SEARCH("Blanchard:", O120)), "Louisiana",ISNUMBER(SEARCH("Bryant:", O120)), "Arkansas",ISNUMBER(SEARCH("Choctaw:", O120)), "Oklahoma",ISNUMBER(SEARCH("Choc Allgy:", O120)), "Oklahoma",ISNUMBER(SEARCH("DeQueen:", O120)), "Arkansas",ISNUMBER(SEARCH("Edmond:", O120)), "Oklahoma",ISNUMBER(SEARCH("Edmd Aller:", O120)), "Oklahoma",ISNUMBER(SEARCH("Imaging:", O120)), "Texas",ISNUMBER(SEARCH("Longview:", O120)), "Texas",ISNUMBER(SEARCH("Marshall:", O120)), "Texas",ISNUMBER(SEARCH("Mar Allerg:", O120)), "Texas",ISNUMBER(SEARCH("Maumelle:", O120)), "Arkansas",ISNUMBER(SEARCH("MWC:", O120)), "Oklahoma",ISNUMBER(SEARCH("MWC Allgy:", O120)), "Oklahoma",ISNUMBER(SEARCH("Moore:", O120)), "Oklahoma",ISNUMBER(SEARCH("MooreAllgy:", O120)), "Oklahoma",ISNUMBER(SEARCH("MtPleasant:", O120)), "Texas",ISNUMBER(SEARCH("OccOffsite:", O120)), "Texas",ISNUMBER(SEARCH("Pain Mgmt:", O120)), "Texas",ISNUMBER(SEARCH("Paris:", O120)), "Texas",ISNUMBER(SEARCH("PT:", O120)), "Texas",ISNUMBER(SEARCH("RR Allergy:", O120)), "Texas",ISNUMBER(SEARCH("Sherwood:", O120)), "Arkansas",ISNUMBER(SEARCH("WV:", O120)), "Texas",ISNUMBER(SEARCH("Nur-Home:", O120)), "Texas",ISNUMBER(SEARCH("THC:", O120)), "Texas",ISNUMBER(SEARCH("WVTC:", O120)), "Texas",ISNUMBER(SEARCH("TSC:", O120)), "Texas",ISNUMBER(SEARCH("V-AR Blvd:", O120)), "Arkansas",ISNUMBER(SEARCH("V-Maumelle:", O120)), "Arkansas",ISNUMBER(SEARCH("V-Atlanta:", O120)), "Texas",ISNUMBER(SEARCH("VBlanchard:", O120)), "Louisiana",ISNUMBER(SEARCH("V-Bryant:", O120)), "Arkansas",ISNUMBER(SEARCH("V-Choctaw:", O120)), "Oklahoma",ISNUMBER(SEARCH("V-DeQueen:", O120)), "Arkansas",ISNUMBER(SEARCH("V-Longview:", O120)), "Texas",ISNUMBER(SEARCH("V-Marshall:", O120)), "Texas",ISNUMBER(SEARCH("V-MWC:", O120)), "Oklahoma",ISNUMBER(SEARCH("V-Moore:", O120)), "Oklahoma",ISNUMBER(SEARCH("V-MP:", O120)), "Texas",ISNUMBER(SEARCH("V-Edmond:", O120)), "Oklahoma",ISNUMBER(SEARCH("V-Paris:", O120)), "Texas",ISNUMBER(SEARCH("V-RR:", O120)), "Texas",ISNUMBER(SEARCH("V-Sherwood:", O120)), "Arkansas",ISNUMBER(SEARCH("V-WV:", O120)), "Texas",ISNUMBER(SEARCH("HealthCARE Express - Richmond Road", O120)), "Texas",ISNUMBER(SEARCH("HealthCARE Express - Occupational Medicine", O120)), "Texas")</f>
        <v>Arkansas</v>
      </c>
      <c r="Q120" t="s">
        <v>841</v>
      </c>
      <c r="R120" t="s">
        <v>532</v>
      </c>
      <c r="S120" t="s">
        <v>699</v>
      </c>
      <c r="T120" t="s">
        <v>848</v>
      </c>
      <c r="U120" t="s">
        <v>880</v>
      </c>
      <c r="AF120" t="str" cm="1">
        <f t="array" ref="AF120">IF(SUMPRODUCT(--ISNUMBER(SEARCH("992",T120:AE120)))&gt;0, "E&amp;M", "No E&amp;M")</f>
        <v>E&amp;M</v>
      </c>
      <c r="AG120" t="str">
        <f t="shared" si="7"/>
        <v>99214</v>
      </c>
      <c r="AH120" t="str">
        <f t="shared" si="8"/>
        <v>Estd. Patient</v>
      </c>
      <c r="AI120" t="str">
        <f t="shared" si="9"/>
        <v>Little Rock Region</v>
      </c>
    </row>
    <row r="121" spans="1:35" x14ac:dyDescent="0.3">
      <c r="A121" t="s">
        <v>703</v>
      </c>
      <c r="B121" t="s">
        <v>357</v>
      </c>
      <c r="C121" t="s">
        <v>386</v>
      </c>
      <c r="D121" t="s">
        <v>704</v>
      </c>
      <c r="E121" t="s">
        <v>96</v>
      </c>
      <c r="F121" t="s">
        <v>19</v>
      </c>
      <c r="G121" t="s">
        <v>705</v>
      </c>
      <c r="H121" t="s">
        <v>79</v>
      </c>
      <c r="I121" t="s">
        <v>22</v>
      </c>
      <c r="J121" t="s">
        <v>22</v>
      </c>
      <c r="K121" t="s">
        <v>706</v>
      </c>
      <c r="L121" t="s">
        <v>707</v>
      </c>
      <c r="M121" t="s">
        <v>392</v>
      </c>
      <c r="N121" t="s">
        <v>704</v>
      </c>
      <c r="O121" t="s">
        <v>874</v>
      </c>
      <c r="P121" t="str" cm="1">
        <f t="array" ref="P121">_xlfn.IFS(ISNUMBER(SEARCH("AEIC:", O121)), "Arkansas",ISNUMBER(SEARCH("STM:", O121)), "Texas",ISNUMBER(SEARCH("BILLING:", O121)), "Texas",ISNUMBER(SEARCH("AM:", O121)), "Texas",ISNUMBER(SEARCH("ARBlvd:", O121)), "Arkansas",ISNUMBER(SEARCH("Atlanta:", O121)), "Texas",ISNUMBER(SEARCH("Blanchard:", O121)), "Louisiana",ISNUMBER(SEARCH("Bryant:", O121)), "Arkansas",ISNUMBER(SEARCH("Choctaw:", O121)), "Oklahoma",ISNUMBER(SEARCH("Choc Allgy:", O121)), "Oklahoma",ISNUMBER(SEARCH("DeQueen:", O121)), "Arkansas",ISNUMBER(SEARCH("Edmond:", O121)), "Oklahoma",ISNUMBER(SEARCH("Edmd Aller:", O121)), "Oklahoma",ISNUMBER(SEARCH("Imaging:", O121)), "Texas",ISNUMBER(SEARCH("Longview:", O121)), "Texas",ISNUMBER(SEARCH("Marshall:", O121)), "Texas",ISNUMBER(SEARCH("Mar Allerg:", O121)), "Texas",ISNUMBER(SEARCH("Maumelle:", O121)), "Arkansas",ISNUMBER(SEARCH("MWC:", O121)), "Oklahoma",ISNUMBER(SEARCH("MWC Allgy:", O121)), "Oklahoma",ISNUMBER(SEARCH("Moore:", O121)), "Oklahoma",ISNUMBER(SEARCH("MooreAllgy:", O121)), "Oklahoma",ISNUMBER(SEARCH("MtPleasant:", O121)), "Texas",ISNUMBER(SEARCH("OccOffsite:", O121)), "Texas",ISNUMBER(SEARCH("Pain Mgmt:", O121)), "Texas",ISNUMBER(SEARCH("Paris:", O121)), "Texas",ISNUMBER(SEARCH("PT:", O121)), "Texas",ISNUMBER(SEARCH("RR Allergy:", O121)), "Texas",ISNUMBER(SEARCH("Sherwood:", O121)), "Arkansas",ISNUMBER(SEARCH("WV:", O121)), "Texas",ISNUMBER(SEARCH("Nur-Home:", O121)), "Texas",ISNUMBER(SEARCH("THC:", O121)), "Texas",ISNUMBER(SEARCH("WVTC:", O121)), "Texas",ISNUMBER(SEARCH("TSC:", O121)), "Texas",ISNUMBER(SEARCH("V-AR Blvd:", O121)), "Arkansas",ISNUMBER(SEARCH("V-Maumelle:", O121)), "Arkansas",ISNUMBER(SEARCH("V-Atlanta:", O121)), "Texas",ISNUMBER(SEARCH("VBlanchard:", O121)), "Louisiana",ISNUMBER(SEARCH("V-Bryant:", O121)), "Arkansas",ISNUMBER(SEARCH("V-Choctaw:", O121)), "Oklahoma",ISNUMBER(SEARCH("V-DeQueen:", O121)), "Arkansas",ISNUMBER(SEARCH("V-Longview:", O121)), "Texas",ISNUMBER(SEARCH("V-Marshall:", O121)), "Texas",ISNUMBER(SEARCH("V-MWC:", O121)), "Oklahoma",ISNUMBER(SEARCH("V-Moore:", O121)), "Oklahoma",ISNUMBER(SEARCH("V-MP:", O121)), "Texas",ISNUMBER(SEARCH("V-Edmond:", O121)), "Oklahoma",ISNUMBER(SEARCH("V-Paris:", O121)), "Texas",ISNUMBER(SEARCH("V-RR:", O121)), "Texas",ISNUMBER(SEARCH("V-Sherwood:", O121)), "Arkansas",ISNUMBER(SEARCH("V-WV:", O121)), "Texas",ISNUMBER(SEARCH("HealthCARE Express - Richmond Road", O121)), "Texas",ISNUMBER(SEARCH("HealthCARE Express - Occupational Medicine", O121)), "Texas")</f>
        <v>Arkansas</v>
      </c>
      <c r="Q121" t="s">
        <v>841</v>
      </c>
      <c r="R121" t="s">
        <v>879</v>
      </c>
      <c r="S121" t="s">
        <v>96</v>
      </c>
      <c r="T121" t="s">
        <v>857</v>
      </c>
      <c r="U121" t="s">
        <v>880</v>
      </c>
      <c r="AF121" t="str" cm="1">
        <f t="array" ref="AF121">IF(SUMPRODUCT(--ISNUMBER(SEARCH("992",T121:AE121)))&gt;0, "E&amp;M", "No E&amp;M")</f>
        <v>E&amp;M</v>
      </c>
      <c r="AG121" t="str">
        <f t="shared" si="7"/>
        <v>99204</v>
      </c>
      <c r="AH121" t="str">
        <f t="shared" si="8"/>
        <v>New Patient</v>
      </c>
      <c r="AI121" t="str">
        <f t="shared" si="9"/>
        <v>Little Rock Region</v>
      </c>
    </row>
    <row r="122" spans="1:35" x14ac:dyDescent="0.3">
      <c r="A122" t="s">
        <v>708</v>
      </c>
      <c r="B122" t="s">
        <v>357</v>
      </c>
      <c r="C122" t="s">
        <v>709</v>
      </c>
      <c r="D122" t="s">
        <v>710</v>
      </c>
      <c r="E122" t="s">
        <v>77</v>
      </c>
      <c r="F122" t="s">
        <v>19</v>
      </c>
      <c r="G122" t="s">
        <v>141</v>
      </c>
      <c r="H122" t="s">
        <v>79</v>
      </c>
      <c r="I122" t="s">
        <v>22</v>
      </c>
      <c r="J122" t="s">
        <v>22</v>
      </c>
      <c r="K122" t="s">
        <v>461</v>
      </c>
      <c r="L122" t="s">
        <v>711</v>
      </c>
      <c r="M122" t="s">
        <v>712</v>
      </c>
      <c r="N122" t="s">
        <v>713</v>
      </c>
      <c r="O122" t="s">
        <v>885</v>
      </c>
      <c r="P122" t="str" cm="1">
        <f t="array" ref="P122">_xlfn.IFS(ISNUMBER(SEARCH("AEIC:", O122)), "Arkansas",ISNUMBER(SEARCH("STM:", O122)), "Texas",ISNUMBER(SEARCH("BILLING:", O122)), "Texas",ISNUMBER(SEARCH("AM:", O122)), "Texas",ISNUMBER(SEARCH("ARBlvd:", O122)), "Arkansas",ISNUMBER(SEARCH("Atlanta:", O122)), "Texas",ISNUMBER(SEARCH("Blanchard:", O122)), "Louisiana",ISNUMBER(SEARCH("Bryant:", O122)), "Arkansas",ISNUMBER(SEARCH("Choctaw:", O122)), "Oklahoma",ISNUMBER(SEARCH("Choc Allgy:", O122)), "Oklahoma",ISNUMBER(SEARCH("DeQueen:", O122)), "Arkansas",ISNUMBER(SEARCH("Edmond:", O122)), "Oklahoma",ISNUMBER(SEARCH("Edmd Aller:", O122)), "Oklahoma",ISNUMBER(SEARCH("Imaging:", O122)), "Texas",ISNUMBER(SEARCH("Longview:", O122)), "Texas",ISNUMBER(SEARCH("Marshall:", O122)), "Texas",ISNUMBER(SEARCH("Mar Allerg:", O122)), "Texas",ISNUMBER(SEARCH("Maumelle:", O122)), "Arkansas",ISNUMBER(SEARCH("MWC:", O122)), "Oklahoma",ISNUMBER(SEARCH("MWC Allgy:", O122)), "Oklahoma",ISNUMBER(SEARCH("Moore:", O122)), "Oklahoma",ISNUMBER(SEARCH("MooreAllgy:", O122)), "Oklahoma",ISNUMBER(SEARCH("MtPleasant:", O122)), "Texas",ISNUMBER(SEARCH("OccOffsite:", O122)), "Texas",ISNUMBER(SEARCH("Pain Mgmt:", O122)), "Texas",ISNUMBER(SEARCH("Paris:", O122)), "Texas",ISNUMBER(SEARCH("PT:", O122)), "Texas",ISNUMBER(SEARCH("RR Allergy:", O122)), "Texas",ISNUMBER(SEARCH("Sherwood:", O122)), "Arkansas",ISNUMBER(SEARCH("WV:", O122)), "Texas",ISNUMBER(SEARCH("Nur-Home:", O122)), "Texas",ISNUMBER(SEARCH("THC:", O122)), "Texas",ISNUMBER(SEARCH("WVTC:", O122)), "Texas",ISNUMBER(SEARCH("TSC:", O122)), "Texas",ISNUMBER(SEARCH("V-AR Blvd:", O122)), "Arkansas",ISNUMBER(SEARCH("V-Maumelle:", O122)), "Arkansas",ISNUMBER(SEARCH("V-Atlanta:", O122)), "Texas",ISNUMBER(SEARCH("VBlanchard:", O122)), "Louisiana",ISNUMBER(SEARCH("V-Bryant:", O122)), "Arkansas",ISNUMBER(SEARCH("V-Choctaw:", O122)), "Oklahoma",ISNUMBER(SEARCH("V-DeQueen:", O122)), "Arkansas",ISNUMBER(SEARCH("V-Longview:", O122)), "Texas",ISNUMBER(SEARCH("V-Marshall:", O122)), "Texas",ISNUMBER(SEARCH("V-MWC:", O122)), "Oklahoma",ISNUMBER(SEARCH("V-Moore:", O122)), "Oklahoma",ISNUMBER(SEARCH("V-MP:", O122)), "Texas",ISNUMBER(SEARCH("V-Edmond:", O122)), "Oklahoma",ISNUMBER(SEARCH("V-Paris:", O122)), "Texas",ISNUMBER(SEARCH("V-RR:", O122)), "Texas",ISNUMBER(SEARCH("V-Sherwood:", O122)), "Arkansas",ISNUMBER(SEARCH("V-WV:", O122)), "Texas",ISNUMBER(SEARCH("HealthCARE Express - Richmond Road", O122)), "Texas",ISNUMBER(SEARCH("HealthCARE Express - Occupational Medicine", O122)), "Texas")</f>
        <v>Texas</v>
      </c>
      <c r="Q122" t="s">
        <v>869</v>
      </c>
      <c r="R122" t="s">
        <v>868</v>
      </c>
      <c r="S122" t="s">
        <v>77</v>
      </c>
      <c r="T122" t="s">
        <v>848</v>
      </c>
      <c r="U122" t="s">
        <v>873</v>
      </c>
      <c r="AF122" t="str" cm="1">
        <f t="array" ref="AF122">IF(SUMPRODUCT(--ISNUMBER(SEARCH("992",T122:AE122)))&gt;0, "E&amp;M", "No E&amp;M")</f>
        <v>E&amp;M</v>
      </c>
      <c r="AG122" t="str">
        <f t="shared" si="7"/>
        <v>99214</v>
      </c>
      <c r="AH122" t="str">
        <f t="shared" si="8"/>
        <v>Estd. Patient</v>
      </c>
      <c r="AI122" t="str">
        <f t="shared" si="9"/>
        <v>Texas/La/DQ/Ark Blvd</v>
      </c>
    </row>
    <row r="123" spans="1:35" x14ac:dyDescent="0.3">
      <c r="A123" t="s">
        <v>714</v>
      </c>
      <c r="B123" t="s">
        <v>357</v>
      </c>
      <c r="C123" t="s">
        <v>109</v>
      </c>
      <c r="D123" t="s">
        <v>715</v>
      </c>
      <c r="E123" t="s">
        <v>335</v>
      </c>
      <c r="F123" t="s">
        <v>19</v>
      </c>
      <c r="G123" t="s">
        <v>569</v>
      </c>
      <c r="H123" t="s">
        <v>207</v>
      </c>
      <c r="I123" t="s">
        <v>22</v>
      </c>
      <c r="J123" t="s">
        <v>22</v>
      </c>
      <c r="K123" t="s">
        <v>716</v>
      </c>
      <c r="L123" t="s">
        <v>717</v>
      </c>
      <c r="M123" t="s">
        <v>113</v>
      </c>
      <c r="N123" t="s">
        <v>715</v>
      </c>
      <c r="O123" t="s">
        <v>878</v>
      </c>
      <c r="P123" t="str" cm="1">
        <f t="array" ref="P123">_xlfn.IFS(ISNUMBER(SEARCH("AEIC:", O123)), "Arkansas",ISNUMBER(SEARCH("STM:", O123)), "Texas",ISNUMBER(SEARCH("BILLING:", O123)), "Texas",ISNUMBER(SEARCH("AM:", O123)), "Texas",ISNUMBER(SEARCH("ARBlvd:", O123)), "Arkansas",ISNUMBER(SEARCH("Atlanta:", O123)), "Texas",ISNUMBER(SEARCH("Blanchard:", O123)), "Louisiana",ISNUMBER(SEARCH("Bryant:", O123)), "Arkansas",ISNUMBER(SEARCH("Choctaw:", O123)), "Oklahoma",ISNUMBER(SEARCH("Choc Allgy:", O123)), "Oklahoma",ISNUMBER(SEARCH("DeQueen:", O123)), "Arkansas",ISNUMBER(SEARCH("Edmond:", O123)), "Oklahoma",ISNUMBER(SEARCH("Edmd Aller:", O123)), "Oklahoma",ISNUMBER(SEARCH("Imaging:", O123)), "Texas",ISNUMBER(SEARCH("Longview:", O123)), "Texas",ISNUMBER(SEARCH("Marshall:", O123)), "Texas",ISNUMBER(SEARCH("Mar Allerg:", O123)), "Texas",ISNUMBER(SEARCH("Maumelle:", O123)), "Arkansas",ISNUMBER(SEARCH("MWC:", O123)), "Oklahoma",ISNUMBER(SEARCH("MWC Allgy:", O123)), "Oklahoma",ISNUMBER(SEARCH("Moore:", O123)), "Oklahoma",ISNUMBER(SEARCH("MooreAllgy:", O123)), "Oklahoma",ISNUMBER(SEARCH("MtPleasant:", O123)), "Texas",ISNUMBER(SEARCH("OccOffsite:", O123)), "Texas",ISNUMBER(SEARCH("Pain Mgmt:", O123)), "Texas",ISNUMBER(SEARCH("Paris:", O123)), "Texas",ISNUMBER(SEARCH("PT:", O123)), "Texas",ISNUMBER(SEARCH("RR Allergy:", O123)), "Texas",ISNUMBER(SEARCH("Sherwood:", O123)), "Arkansas",ISNUMBER(SEARCH("WV:", O123)), "Texas",ISNUMBER(SEARCH("Nur-Home:", O123)), "Texas",ISNUMBER(SEARCH("THC:", O123)), "Texas",ISNUMBER(SEARCH("WVTC:", O123)), "Texas",ISNUMBER(SEARCH("TSC:", O123)), "Texas",ISNUMBER(SEARCH("V-AR Blvd:", O123)), "Arkansas",ISNUMBER(SEARCH("V-Maumelle:", O123)), "Arkansas",ISNUMBER(SEARCH("V-Atlanta:", O123)), "Texas",ISNUMBER(SEARCH("VBlanchard:", O123)), "Louisiana",ISNUMBER(SEARCH("V-Bryant:", O123)), "Arkansas",ISNUMBER(SEARCH("V-Choctaw:", O123)), "Oklahoma",ISNUMBER(SEARCH("V-DeQueen:", O123)), "Arkansas",ISNUMBER(SEARCH("V-Longview:", O123)), "Texas",ISNUMBER(SEARCH("V-Marshall:", O123)), "Texas",ISNUMBER(SEARCH("V-MWC:", O123)), "Oklahoma",ISNUMBER(SEARCH("V-Moore:", O123)), "Oklahoma",ISNUMBER(SEARCH("V-MP:", O123)), "Texas",ISNUMBER(SEARCH("V-Edmond:", O123)), "Oklahoma",ISNUMBER(SEARCH("V-Paris:", O123)), "Texas",ISNUMBER(SEARCH("V-RR:", O123)), "Texas",ISNUMBER(SEARCH("V-Sherwood:", O123)), "Arkansas",ISNUMBER(SEARCH("V-WV:", O123)), "Texas",ISNUMBER(SEARCH("HealthCARE Express - Richmond Road", O123)), "Texas",ISNUMBER(SEARCH("HealthCARE Express - Occupational Medicine", O123)), "Texas")</f>
        <v>Arkansas</v>
      </c>
      <c r="Q123" t="s">
        <v>841</v>
      </c>
      <c r="R123" t="s">
        <v>882</v>
      </c>
      <c r="S123" t="s">
        <v>335</v>
      </c>
      <c r="T123" t="s">
        <v>848</v>
      </c>
      <c r="U123" t="s">
        <v>861</v>
      </c>
      <c r="V123" t="s">
        <v>861</v>
      </c>
      <c r="W123" t="s">
        <v>870</v>
      </c>
      <c r="X123" t="s">
        <v>870</v>
      </c>
      <c r="Y123" t="s">
        <v>935</v>
      </c>
      <c r="Z123" t="s">
        <v>867</v>
      </c>
      <c r="AA123" t="s">
        <v>867</v>
      </c>
      <c r="AF123" t="str" cm="1">
        <f t="array" ref="AF123">IF(SUMPRODUCT(--ISNUMBER(SEARCH("992",T123:AE123)))&gt;0, "E&amp;M", "No E&amp;M")</f>
        <v>E&amp;M</v>
      </c>
      <c r="AG123" t="str">
        <f t="shared" si="7"/>
        <v>99214</v>
      </c>
      <c r="AH123" t="str">
        <f t="shared" si="8"/>
        <v>Estd. Patient</v>
      </c>
      <c r="AI123" t="str">
        <f t="shared" si="9"/>
        <v>Little Rock Region</v>
      </c>
    </row>
    <row r="124" spans="1:35" x14ac:dyDescent="0.3">
      <c r="A124" t="s">
        <v>718</v>
      </c>
      <c r="B124" t="s">
        <v>357</v>
      </c>
      <c r="C124" t="s">
        <v>240</v>
      </c>
      <c r="D124" t="s">
        <v>719</v>
      </c>
      <c r="E124" t="s">
        <v>375</v>
      </c>
      <c r="F124" t="s">
        <v>19</v>
      </c>
      <c r="G124" t="s">
        <v>336</v>
      </c>
      <c r="H124" t="s">
        <v>22</v>
      </c>
      <c r="I124" t="s">
        <v>22</v>
      </c>
      <c r="J124" t="s">
        <v>22</v>
      </c>
      <c r="K124" t="s">
        <v>336</v>
      </c>
      <c r="L124" t="s">
        <v>720</v>
      </c>
      <c r="M124" t="s">
        <v>244</v>
      </c>
      <c r="N124" t="s">
        <v>719</v>
      </c>
      <c r="O124" t="s">
        <v>890</v>
      </c>
      <c r="P124" t="str" cm="1">
        <f t="array" ref="P124">_xlfn.IFS(ISNUMBER(SEARCH("AEIC:", O124)), "Arkansas",ISNUMBER(SEARCH("STM:", O124)), "Texas",ISNUMBER(SEARCH("BILLING:", O124)), "Texas",ISNUMBER(SEARCH("AM:", O124)), "Texas",ISNUMBER(SEARCH("ARBlvd:", O124)), "Arkansas",ISNUMBER(SEARCH("Atlanta:", O124)), "Texas",ISNUMBER(SEARCH("Blanchard:", O124)), "Louisiana",ISNUMBER(SEARCH("Bryant:", O124)), "Arkansas",ISNUMBER(SEARCH("Choctaw:", O124)), "Oklahoma",ISNUMBER(SEARCH("Choc Allgy:", O124)), "Oklahoma",ISNUMBER(SEARCH("DeQueen:", O124)), "Arkansas",ISNUMBER(SEARCH("Edmond:", O124)), "Oklahoma",ISNUMBER(SEARCH("Edmd Aller:", O124)), "Oklahoma",ISNUMBER(SEARCH("Imaging:", O124)), "Texas",ISNUMBER(SEARCH("Longview:", O124)), "Texas",ISNUMBER(SEARCH("Marshall:", O124)), "Texas",ISNUMBER(SEARCH("Mar Allerg:", O124)), "Texas",ISNUMBER(SEARCH("Maumelle:", O124)), "Arkansas",ISNUMBER(SEARCH("MWC:", O124)), "Oklahoma",ISNUMBER(SEARCH("MWC Allgy:", O124)), "Oklahoma",ISNUMBER(SEARCH("Moore:", O124)), "Oklahoma",ISNUMBER(SEARCH("MooreAllgy:", O124)), "Oklahoma",ISNUMBER(SEARCH("MtPleasant:", O124)), "Texas",ISNUMBER(SEARCH("OccOffsite:", O124)), "Texas",ISNUMBER(SEARCH("Pain Mgmt:", O124)), "Texas",ISNUMBER(SEARCH("Paris:", O124)), "Texas",ISNUMBER(SEARCH("PT:", O124)), "Texas",ISNUMBER(SEARCH("RR Allergy:", O124)), "Texas",ISNUMBER(SEARCH("Sherwood:", O124)), "Arkansas",ISNUMBER(SEARCH("WV:", O124)), "Texas",ISNUMBER(SEARCH("Nur-Home:", O124)), "Texas",ISNUMBER(SEARCH("THC:", O124)), "Texas",ISNUMBER(SEARCH("WVTC:", O124)), "Texas",ISNUMBER(SEARCH("TSC:", O124)), "Texas",ISNUMBER(SEARCH("V-AR Blvd:", O124)), "Arkansas",ISNUMBER(SEARCH("V-Maumelle:", O124)), "Arkansas",ISNUMBER(SEARCH("V-Atlanta:", O124)), "Texas",ISNUMBER(SEARCH("VBlanchard:", O124)), "Louisiana",ISNUMBER(SEARCH("V-Bryant:", O124)), "Arkansas",ISNUMBER(SEARCH("V-Choctaw:", O124)), "Oklahoma",ISNUMBER(SEARCH("V-DeQueen:", O124)), "Arkansas",ISNUMBER(SEARCH("V-Longview:", O124)), "Texas",ISNUMBER(SEARCH("V-Marshall:", O124)), "Texas",ISNUMBER(SEARCH("V-MWC:", O124)), "Oklahoma",ISNUMBER(SEARCH("V-Moore:", O124)), "Oklahoma",ISNUMBER(SEARCH("V-MP:", O124)), "Texas",ISNUMBER(SEARCH("V-Edmond:", O124)), "Oklahoma",ISNUMBER(SEARCH("V-Paris:", O124)), "Texas",ISNUMBER(SEARCH("V-RR:", O124)), "Texas",ISNUMBER(SEARCH("V-Sherwood:", O124)), "Arkansas",ISNUMBER(SEARCH("V-WV:", O124)), "Texas",ISNUMBER(SEARCH("HealthCARE Express - Richmond Road", O124)), "Texas",ISNUMBER(SEARCH("HealthCARE Express - Occupational Medicine", O124)), "Texas")</f>
        <v>Arkansas</v>
      </c>
      <c r="Q124" t="s">
        <v>841</v>
      </c>
      <c r="R124" t="s">
        <v>872</v>
      </c>
      <c r="S124" t="s">
        <v>375</v>
      </c>
      <c r="T124" t="s">
        <v>848</v>
      </c>
      <c r="U124" t="s">
        <v>843</v>
      </c>
      <c r="AF124" t="str" cm="1">
        <f t="array" ref="AF124">IF(SUMPRODUCT(--ISNUMBER(SEARCH("992",T124:AE124)))&gt;0, "E&amp;M", "No E&amp;M")</f>
        <v>E&amp;M</v>
      </c>
      <c r="AG124" t="str">
        <f t="shared" si="7"/>
        <v>99214</v>
      </c>
      <c r="AH124" t="str">
        <f t="shared" si="8"/>
        <v>Estd. Patient</v>
      </c>
      <c r="AI124" t="str">
        <f t="shared" si="9"/>
        <v>-</v>
      </c>
    </row>
    <row r="125" spans="1:35" x14ac:dyDescent="0.3">
      <c r="A125" t="s">
        <v>721</v>
      </c>
      <c r="B125" t="s">
        <v>357</v>
      </c>
      <c r="C125" t="s">
        <v>386</v>
      </c>
      <c r="D125" t="s">
        <v>722</v>
      </c>
      <c r="E125" t="s">
        <v>124</v>
      </c>
      <c r="F125" t="s">
        <v>19</v>
      </c>
      <c r="G125" t="s">
        <v>97</v>
      </c>
      <c r="H125" t="s">
        <v>22</v>
      </c>
      <c r="I125" t="s">
        <v>22</v>
      </c>
      <c r="J125" t="s">
        <v>22</v>
      </c>
      <c r="K125" t="s">
        <v>97</v>
      </c>
      <c r="L125" t="s">
        <v>723</v>
      </c>
      <c r="M125" t="s">
        <v>392</v>
      </c>
      <c r="N125" t="s">
        <v>724</v>
      </c>
      <c r="O125" t="s">
        <v>874</v>
      </c>
      <c r="P125" t="str" cm="1">
        <f t="array" ref="P125">_xlfn.IFS(ISNUMBER(SEARCH("AEIC:", O125)), "Arkansas",ISNUMBER(SEARCH("STM:", O125)), "Texas",ISNUMBER(SEARCH("BILLING:", O125)), "Texas",ISNUMBER(SEARCH("AM:", O125)), "Texas",ISNUMBER(SEARCH("ARBlvd:", O125)), "Arkansas",ISNUMBER(SEARCH("Atlanta:", O125)), "Texas",ISNUMBER(SEARCH("Blanchard:", O125)), "Louisiana",ISNUMBER(SEARCH("Bryant:", O125)), "Arkansas",ISNUMBER(SEARCH("Choctaw:", O125)), "Oklahoma",ISNUMBER(SEARCH("Choc Allgy:", O125)), "Oklahoma",ISNUMBER(SEARCH("DeQueen:", O125)), "Arkansas",ISNUMBER(SEARCH("Edmond:", O125)), "Oklahoma",ISNUMBER(SEARCH("Edmd Aller:", O125)), "Oklahoma",ISNUMBER(SEARCH("Imaging:", O125)), "Texas",ISNUMBER(SEARCH("Longview:", O125)), "Texas",ISNUMBER(SEARCH("Marshall:", O125)), "Texas",ISNUMBER(SEARCH("Mar Allerg:", O125)), "Texas",ISNUMBER(SEARCH("Maumelle:", O125)), "Arkansas",ISNUMBER(SEARCH("MWC:", O125)), "Oklahoma",ISNUMBER(SEARCH("MWC Allgy:", O125)), "Oklahoma",ISNUMBER(SEARCH("Moore:", O125)), "Oklahoma",ISNUMBER(SEARCH("MooreAllgy:", O125)), "Oklahoma",ISNUMBER(SEARCH("MtPleasant:", O125)), "Texas",ISNUMBER(SEARCH("OccOffsite:", O125)), "Texas",ISNUMBER(SEARCH("Pain Mgmt:", O125)), "Texas",ISNUMBER(SEARCH("Paris:", O125)), "Texas",ISNUMBER(SEARCH("PT:", O125)), "Texas",ISNUMBER(SEARCH("RR Allergy:", O125)), "Texas",ISNUMBER(SEARCH("Sherwood:", O125)), "Arkansas",ISNUMBER(SEARCH("WV:", O125)), "Texas",ISNUMBER(SEARCH("Nur-Home:", O125)), "Texas",ISNUMBER(SEARCH("THC:", O125)), "Texas",ISNUMBER(SEARCH("WVTC:", O125)), "Texas",ISNUMBER(SEARCH("TSC:", O125)), "Texas",ISNUMBER(SEARCH("V-AR Blvd:", O125)), "Arkansas",ISNUMBER(SEARCH("V-Maumelle:", O125)), "Arkansas",ISNUMBER(SEARCH("V-Atlanta:", O125)), "Texas",ISNUMBER(SEARCH("VBlanchard:", O125)), "Louisiana",ISNUMBER(SEARCH("V-Bryant:", O125)), "Arkansas",ISNUMBER(SEARCH("V-Choctaw:", O125)), "Oklahoma",ISNUMBER(SEARCH("V-DeQueen:", O125)), "Arkansas",ISNUMBER(SEARCH("V-Longview:", O125)), "Texas",ISNUMBER(SEARCH("V-Marshall:", O125)), "Texas",ISNUMBER(SEARCH("V-MWC:", O125)), "Oklahoma",ISNUMBER(SEARCH("V-Moore:", O125)), "Oklahoma",ISNUMBER(SEARCH("V-MP:", O125)), "Texas",ISNUMBER(SEARCH("V-Edmond:", O125)), "Oklahoma",ISNUMBER(SEARCH("V-Paris:", O125)), "Texas",ISNUMBER(SEARCH("V-RR:", O125)), "Texas",ISNUMBER(SEARCH("V-Sherwood:", O125)), "Arkansas",ISNUMBER(SEARCH("V-WV:", O125)), "Texas",ISNUMBER(SEARCH("HealthCARE Express - Richmond Road", O125)), "Texas",ISNUMBER(SEARCH("HealthCARE Express - Occupational Medicine", O125)), "Texas")</f>
        <v>Arkansas</v>
      </c>
      <c r="Q125" t="s">
        <v>841</v>
      </c>
      <c r="R125" t="s">
        <v>847</v>
      </c>
      <c r="S125" t="s">
        <v>124</v>
      </c>
      <c r="T125" t="s">
        <v>848</v>
      </c>
      <c r="U125" t="s">
        <v>880</v>
      </c>
      <c r="V125" t="s">
        <v>873</v>
      </c>
      <c r="AF125" t="str" cm="1">
        <f t="array" ref="AF125">IF(SUMPRODUCT(--ISNUMBER(SEARCH("992",T125:AE125)))&gt;0, "E&amp;M", "No E&amp;M")</f>
        <v>E&amp;M</v>
      </c>
      <c r="AG125" t="str">
        <f t="shared" si="7"/>
        <v>99214</v>
      </c>
      <c r="AH125" t="str">
        <f t="shared" si="8"/>
        <v>Estd. Patient</v>
      </c>
      <c r="AI125" t="str">
        <f t="shared" ref="AI125:AI143" si="10">IF(ISNUMBER(SEARCH("McCrary, D",M125)),"Age Management",IF(ISNUMBER(SEARCH("Stanley, R",M125)),"Age Management",IF(ISNUMBER(SEARCH("Garner, P",M125)),"Little Rock Region",IF(ISNUMBER(SEARCH("Golden, C",M125)),"Little Rock Region",IF(ISNUMBER(SEARCH("Kordsmeier, E",M125)),"Little Rock Region",IF(ISNUMBER(SEARCH("Martin, S",M125)),"Little Rock Region",IF(ISNUMBER(SEARCH("Terrell III, R",M125)),"Little Rock Region",IF(ISNUMBER(SEARCH("Waheed, I",M125)),"Little Rock Region",IF(ISNUMBER(SEARCH("Whitwell, B",M125)),"Little Rock Region",IF(ISNUMBER(SEARCH("Anderson, R",M125)),"Oklahoma",IF(ISNUMBER(SEARCH("Baker, S",M125)),"Oklahoma",IF(ISNUMBER(SEARCH("Bishop, K",M125)),"Oklahoma",IF(ISNUMBER(SEARCH("Davis, C",M125)),"Oklahoma",IF(ISNUMBER(SEARCH("Harrison, J",M125)),"Oklahoma",IF(ISNUMBER(SEARCH("Orico, L",M125)),"Oklahoma",IF(ISNUMBER(SEARCH("Richardson, M",M125)),"Oklahoma",IF(ISNUMBER(SEARCH("Schmiedel, I",M125)),"Oklahoma",IF(ISNUMBER(SEARCH("Sitton, L",M125)),"Oklahoma",IF(ISNUMBER(SEARCH("Smith, C",M125)),"Oklahoma",IF(ISNUMBER(SEARCH("Wenner, T",M125)),"Oklahoma",IF(ISNUMBER(SEARCH("Wright, M",M125)),"Oklahoma",IF(ISNUMBER(SEARCH("Young, R",M125)),"Oklahoma",IF(ISNUMBER(SEARCH("Ayers, A",M125)),"Texas/La/DQ/Ark Blvd",IF(ISNUMBER(SEARCH("Ayers, R",M125)),"Texas/La/DQ/Ark Blvd",IF(ISNUMBER(SEARCH("Bailey, J",M125)),"Texas/La/DQ/Ark Blvd",IF(ISNUMBER(SEARCH("Bennett, C",M125)),"Texas/La/DQ/Ark Blvd",IF(ISNUMBER(SEARCH("Bevill, T",M125)),"Texas/La/DQ/Ark Blvd",IF(ISNUMBER(SEARCH("Bowen, A",M125)),"Texas/La/DQ/Ark Blvd",IF(ISNUMBER(SEARCH("Brandon, M",M125)),"Texas/La/DQ/Ark Blvd",IF(ISNUMBER(SEARCH("Browning, J",M125)),"Texas/La/DQ/Ark Blvd",IF(ISNUMBER(SEARCH("Butts, P",M125)),"Texas/La/DQ/Ark Blvd",IF(ISNUMBER(SEARCH("Caltrider, D",M125)),"Texas/La/DQ/Ark Blvd",IF(ISNUMBER(SEARCH("Colbert, S",M125)),"Texas/La/DQ/Ark Blvd",IF(ISNUMBER(SEARCH("Coyle, H",M125)),"Texas/La/DQ/Ark Blvd",IF(ISNUMBER(SEARCH("Crouthamel, M",M125)),"Texas/La/DQ/Ark Blvd",IF(ISNUMBER(SEARCH("Culbertson, J",M125)),"Texas/La/DQ/Ark Blvd",IF(ISNUMBER(SEARCH("Dailey, S",M125)),"Texas/La/DQ/Ark Blvd",IF(ISNUMBER(SEARCH("Donnelly, S",M125)),"Texas/La/DQ/Ark Blvd",IF(ISNUMBER(SEARCH("Foltz, S",M125)),"Texas/La/DQ/Ark Blvd",IF(ISNUMBER(SEARCH("Foltz, T",M125)),"Texas/La/DQ/Ark Blvd",IF(ISNUMBER(SEARCH("Gallegos, C",M125)),"Texas/La/DQ/Ark Blvd",IF(ISNUMBER(SEARCH("Green, K",M125)),"Texas/La/DQ/Ark Blvd",IF(ISNUMBER(SEARCH("Griffin, P",M125)),"Texas/La/DQ/Ark Blvd",IF(ISNUMBER(SEARCH("Hawthorne, R",M125)),"Texas/La/DQ/Ark Blvd",IF(ISNUMBER(SEARCH("Hickey, P",M125)),"Texas/La/DQ/Ark Blvd",IF(ISNUMBER(SEARCH("Hunter, B",M125)),"Texas/La/DQ/Ark Blvd",IF(ISNUMBER(SEARCH("Hutson, D",M125)),"Texas/La/DQ/Ark Blvd",IF(ISNUMBER(SEARCH("Johnson, B",M125)),"Texas/La/DQ/Ark Blvd",IF(ISNUMBER(SEARCH("McCann, K",M125)),"Texas/La/DQ/Ark Blvd",IF(ISNUMBER(SEARCH("Meredith, P",M125)),"Texas/La/DQ/Ark Blvd",IF(ISNUMBER(SEARCH("Mitchell, J",M125)),"Texas/La/DQ/Ark Blvd",IF(ISNUMBER(SEARCH("Pounds, T",M125)),"Texas/La/DQ/Ark Blvd",IF(ISNUMBER(SEARCH("Redden, K",M125)),"Texas/La/DQ/Ark Blvd",IF(ISNUMBER(SEARCH("Redden, M",M125)),"Texas/La/DQ/Ark Blvd",IF(ISNUMBER(SEARCH("Reynolds, S",M125)),"Texas/La/DQ/Ark Blvd",IF(ISNUMBER(SEARCH("Rolon, K",M125)),"Texas/La/DQ/Ark Blvd",IF(ISNUMBER(SEARCH("Rowe, J",M125)),"Texas/La/DQ/Ark Blvd",IF(ISNUMBER(SEARCH("Russette, R",M125)),"Texas/La/DQ/Ark Blvd",IF(ISNUMBER(SEARCH("West, S",M125)),"Texas/La/DQ/Ark Blvd",IF(ISNUMBER(SEARCH("Burch, J",M125)),"Workers Comp",IF(ISNUMBER(SEARCH("Traylor, T",M125)),"Workers Comp",IF(ISNUMBER(SEARCH("Walls, G",M125)),"Workers Comp","-"))))))))))))))))))))))))))))))))))))))))))))))))))))))))))))))</f>
        <v>Little Rock Region</v>
      </c>
    </row>
    <row r="126" spans="1:35" x14ac:dyDescent="0.3">
      <c r="A126" t="s">
        <v>725</v>
      </c>
      <c r="B126" t="s">
        <v>357</v>
      </c>
      <c r="C126" t="s">
        <v>726</v>
      </c>
      <c r="D126" t="s">
        <v>727</v>
      </c>
      <c r="E126" t="s">
        <v>179</v>
      </c>
      <c r="F126" t="s">
        <v>19</v>
      </c>
      <c r="G126" t="s">
        <v>728</v>
      </c>
      <c r="H126" t="s">
        <v>22</v>
      </c>
      <c r="I126" t="s">
        <v>22</v>
      </c>
      <c r="J126" t="s">
        <v>22</v>
      </c>
      <c r="K126" t="s">
        <v>728</v>
      </c>
      <c r="L126" t="s">
        <v>729</v>
      </c>
      <c r="M126" t="s">
        <v>730</v>
      </c>
      <c r="N126" t="s">
        <v>731</v>
      </c>
      <c r="O126" t="s">
        <v>881</v>
      </c>
      <c r="P126" t="str" cm="1">
        <f t="array" ref="P126">_xlfn.IFS(ISNUMBER(SEARCH("AEIC:", O126)), "Arkansas",ISNUMBER(SEARCH("STM:", O126)), "Texas",ISNUMBER(SEARCH("BILLING:", O126)), "Texas",ISNUMBER(SEARCH("AM:", O126)), "Texas",ISNUMBER(SEARCH("ARBlvd:", O126)), "Arkansas",ISNUMBER(SEARCH("Atlanta:", O126)), "Texas",ISNUMBER(SEARCH("Blanchard:", O126)), "Louisiana",ISNUMBER(SEARCH("Bryant:", O126)), "Arkansas",ISNUMBER(SEARCH("Choctaw:", O126)), "Oklahoma",ISNUMBER(SEARCH("Choc Allgy:", O126)), "Oklahoma",ISNUMBER(SEARCH("DeQueen:", O126)), "Arkansas",ISNUMBER(SEARCH("Edmond:", O126)), "Oklahoma",ISNUMBER(SEARCH("Edmd Aller:", O126)), "Oklahoma",ISNUMBER(SEARCH("Imaging:", O126)), "Texas",ISNUMBER(SEARCH("Longview:", O126)), "Texas",ISNUMBER(SEARCH("Marshall:", O126)), "Texas",ISNUMBER(SEARCH("Mar Allerg:", O126)), "Texas",ISNUMBER(SEARCH("Maumelle:", O126)), "Arkansas",ISNUMBER(SEARCH("MWC:", O126)), "Oklahoma",ISNUMBER(SEARCH("MWC Allgy:", O126)), "Oklahoma",ISNUMBER(SEARCH("Moore:", O126)), "Oklahoma",ISNUMBER(SEARCH("MooreAllgy:", O126)), "Oklahoma",ISNUMBER(SEARCH("MtPleasant:", O126)), "Texas",ISNUMBER(SEARCH("OccOffsite:", O126)), "Texas",ISNUMBER(SEARCH("Pain Mgmt:", O126)), "Texas",ISNUMBER(SEARCH("Paris:", O126)), "Texas",ISNUMBER(SEARCH("PT:", O126)), "Texas",ISNUMBER(SEARCH("RR Allergy:", O126)), "Texas",ISNUMBER(SEARCH("Sherwood:", O126)), "Arkansas",ISNUMBER(SEARCH("WV:", O126)), "Texas",ISNUMBER(SEARCH("Nur-Home:", O126)), "Texas",ISNUMBER(SEARCH("THC:", O126)), "Texas",ISNUMBER(SEARCH("WVTC:", O126)), "Texas",ISNUMBER(SEARCH("TSC:", O126)), "Texas",ISNUMBER(SEARCH("V-AR Blvd:", O126)), "Arkansas",ISNUMBER(SEARCH("V-Maumelle:", O126)), "Arkansas",ISNUMBER(SEARCH("V-Atlanta:", O126)), "Texas",ISNUMBER(SEARCH("VBlanchard:", O126)), "Louisiana",ISNUMBER(SEARCH("V-Bryant:", O126)), "Arkansas",ISNUMBER(SEARCH("V-Choctaw:", O126)), "Oklahoma",ISNUMBER(SEARCH("V-DeQueen:", O126)), "Arkansas",ISNUMBER(SEARCH("V-Longview:", O126)), "Texas",ISNUMBER(SEARCH("V-Marshall:", O126)), "Texas",ISNUMBER(SEARCH("V-MWC:", O126)), "Oklahoma",ISNUMBER(SEARCH("V-Moore:", O126)), "Oklahoma",ISNUMBER(SEARCH("V-MP:", O126)), "Texas",ISNUMBER(SEARCH("V-Edmond:", O126)), "Oklahoma",ISNUMBER(SEARCH("V-Paris:", O126)), "Texas",ISNUMBER(SEARCH("V-RR:", O126)), "Texas",ISNUMBER(SEARCH("V-Sherwood:", O126)), "Arkansas",ISNUMBER(SEARCH("V-WV:", O126)), "Texas",ISNUMBER(SEARCH("HealthCARE Express - Richmond Road", O126)), "Texas",ISNUMBER(SEARCH("HealthCARE Express - Occupational Medicine", O126)), "Texas")</f>
        <v>Oklahoma</v>
      </c>
      <c r="Q126" t="s">
        <v>841</v>
      </c>
      <c r="R126" t="s">
        <v>840</v>
      </c>
      <c r="S126" t="s">
        <v>179</v>
      </c>
      <c r="T126" t="s">
        <v>848</v>
      </c>
      <c r="U126" t="s">
        <v>887</v>
      </c>
      <c r="V126" t="s">
        <v>888</v>
      </c>
      <c r="W126" t="s">
        <v>888</v>
      </c>
      <c r="X126" t="s">
        <v>873</v>
      </c>
      <c r="Y126" t="s">
        <v>861</v>
      </c>
      <c r="Z126" t="s">
        <v>870</v>
      </c>
      <c r="AA126" t="s">
        <v>867</v>
      </c>
      <c r="AF126" t="str" cm="1">
        <f t="array" ref="AF126">IF(SUMPRODUCT(--ISNUMBER(SEARCH("992",T126:AE126)))&gt;0, "E&amp;M", "No E&amp;M")</f>
        <v>E&amp;M</v>
      </c>
      <c r="AG126" t="str">
        <f t="shared" si="7"/>
        <v>99214</v>
      </c>
      <c r="AH126" t="str">
        <f t="shared" si="8"/>
        <v>Estd. Patient</v>
      </c>
      <c r="AI126" t="str">
        <f t="shared" si="10"/>
        <v>-</v>
      </c>
    </row>
    <row r="127" spans="1:35" x14ac:dyDescent="0.3">
      <c r="A127" t="s">
        <v>732</v>
      </c>
      <c r="B127" t="s">
        <v>357</v>
      </c>
      <c r="C127" t="s">
        <v>386</v>
      </c>
      <c r="D127" t="s">
        <v>733</v>
      </c>
      <c r="E127" t="s">
        <v>96</v>
      </c>
      <c r="F127" t="s">
        <v>19</v>
      </c>
      <c r="G127" t="s">
        <v>705</v>
      </c>
      <c r="H127" t="s">
        <v>734</v>
      </c>
      <c r="I127" t="s">
        <v>22</v>
      </c>
      <c r="J127" t="s">
        <v>22</v>
      </c>
      <c r="K127" t="s">
        <v>735</v>
      </c>
      <c r="L127" t="s">
        <v>736</v>
      </c>
      <c r="M127" t="s">
        <v>392</v>
      </c>
      <c r="N127" t="s">
        <v>733</v>
      </c>
      <c r="O127" t="s">
        <v>874</v>
      </c>
      <c r="P127" t="str" cm="1">
        <f t="array" ref="P127">_xlfn.IFS(ISNUMBER(SEARCH("AEIC:", O127)), "Arkansas",ISNUMBER(SEARCH("STM:", O127)), "Texas",ISNUMBER(SEARCH("BILLING:", O127)), "Texas",ISNUMBER(SEARCH("AM:", O127)), "Texas",ISNUMBER(SEARCH("ARBlvd:", O127)), "Arkansas",ISNUMBER(SEARCH("Atlanta:", O127)), "Texas",ISNUMBER(SEARCH("Blanchard:", O127)), "Louisiana",ISNUMBER(SEARCH("Bryant:", O127)), "Arkansas",ISNUMBER(SEARCH("Choctaw:", O127)), "Oklahoma",ISNUMBER(SEARCH("Choc Allgy:", O127)), "Oklahoma",ISNUMBER(SEARCH("DeQueen:", O127)), "Arkansas",ISNUMBER(SEARCH("Edmond:", O127)), "Oklahoma",ISNUMBER(SEARCH("Edmd Aller:", O127)), "Oklahoma",ISNUMBER(SEARCH("Imaging:", O127)), "Texas",ISNUMBER(SEARCH("Longview:", O127)), "Texas",ISNUMBER(SEARCH("Marshall:", O127)), "Texas",ISNUMBER(SEARCH("Mar Allerg:", O127)), "Texas",ISNUMBER(SEARCH("Maumelle:", O127)), "Arkansas",ISNUMBER(SEARCH("MWC:", O127)), "Oklahoma",ISNUMBER(SEARCH("MWC Allgy:", O127)), "Oklahoma",ISNUMBER(SEARCH("Moore:", O127)), "Oklahoma",ISNUMBER(SEARCH("MooreAllgy:", O127)), "Oklahoma",ISNUMBER(SEARCH("MtPleasant:", O127)), "Texas",ISNUMBER(SEARCH("OccOffsite:", O127)), "Texas",ISNUMBER(SEARCH("Pain Mgmt:", O127)), "Texas",ISNUMBER(SEARCH("Paris:", O127)), "Texas",ISNUMBER(SEARCH("PT:", O127)), "Texas",ISNUMBER(SEARCH("RR Allergy:", O127)), "Texas",ISNUMBER(SEARCH("Sherwood:", O127)), "Arkansas",ISNUMBER(SEARCH("WV:", O127)), "Texas",ISNUMBER(SEARCH("Nur-Home:", O127)), "Texas",ISNUMBER(SEARCH("THC:", O127)), "Texas",ISNUMBER(SEARCH("WVTC:", O127)), "Texas",ISNUMBER(SEARCH("TSC:", O127)), "Texas",ISNUMBER(SEARCH("V-AR Blvd:", O127)), "Arkansas",ISNUMBER(SEARCH("V-Maumelle:", O127)), "Arkansas",ISNUMBER(SEARCH("V-Atlanta:", O127)), "Texas",ISNUMBER(SEARCH("VBlanchard:", O127)), "Louisiana",ISNUMBER(SEARCH("V-Bryant:", O127)), "Arkansas",ISNUMBER(SEARCH("V-Choctaw:", O127)), "Oklahoma",ISNUMBER(SEARCH("V-DeQueen:", O127)), "Arkansas",ISNUMBER(SEARCH("V-Longview:", O127)), "Texas",ISNUMBER(SEARCH("V-Marshall:", O127)), "Texas",ISNUMBER(SEARCH("V-MWC:", O127)), "Oklahoma",ISNUMBER(SEARCH("V-Moore:", O127)), "Oklahoma",ISNUMBER(SEARCH("V-MP:", O127)), "Texas",ISNUMBER(SEARCH("V-Edmond:", O127)), "Oklahoma",ISNUMBER(SEARCH("V-Paris:", O127)), "Texas",ISNUMBER(SEARCH("V-RR:", O127)), "Texas",ISNUMBER(SEARCH("V-Sherwood:", O127)), "Arkansas",ISNUMBER(SEARCH("V-WV:", O127)), "Texas",ISNUMBER(SEARCH("HealthCARE Express - Richmond Road", O127)), "Texas",ISNUMBER(SEARCH("HealthCARE Express - Occupational Medicine", O127)), "Texas")</f>
        <v>Arkansas</v>
      </c>
      <c r="Q127" t="s">
        <v>841</v>
      </c>
      <c r="R127" t="s">
        <v>879</v>
      </c>
      <c r="S127" t="s">
        <v>96</v>
      </c>
      <c r="T127" t="s">
        <v>857</v>
      </c>
      <c r="U127" t="s">
        <v>880</v>
      </c>
      <c r="AF127" t="str" cm="1">
        <f t="array" ref="AF127">IF(SUMPRODUCT(--ISNUMBER(SEARCH("992",T127:AE127)))&gt;0, "E&amp;M", "No E&amp;M")</f>
        <v>E&amp;M</v>
      </c>
      <c r="AG127" t="str">
        <f t="shared" si="7"/>
        <v>99204</v>
      </c>
      <c r="AH127" t="str">
        <f t="shared" si="8"/>
        <v>New Patient</v>
      </c>
      <c r="AI127" t="str">
        <f t="shared" si="10"/>
        <v>Little Rock Region</v>
      </c>
    </row>
    <row r="128" spans="1:35" x14ac:dyDescent="0.3">
      <c r="A128" t="s">
        <v>737</v>
      </c>
      <c r="B128" t="s">
        <v>357</v>
      </c>
      <c r="C128" t="s">
        <v>358</v>
      </c>
      <c r="D128" t="s">
        <v>738</v>
      </c>
      <c r="E128" t="s">
        <v>86</v>
      </c>
      <c r="F128" t="s">
        <v>19</v>
      </c>
      <c r="G128" t="s">
        <v>22</v>
      </c>
      <c r="H128" t="s">
        <v>739</v>
      </c>
      <c r="I128" t="s">
        <v>22</v>
      </c>
      <c r="J128" t="s">
        <v>22</v>
      </c>
      <c r="K128" t="s">
        <v>740</v>
      </c>
      <c r="L128" t="s">
        <v>741</v>
      </c>
      <c r="M128" t="s">
        <v>363</v>
      </c>
      <c r="N128" t="s">
        <v>738</v>
      </c>
      <c r="O128" t="s">
        <v>883</v>
      </c>
      <c r="P128" t="str" cm="1">
        <f t="array" ref="P128">_xlfn.IFS(ISNUMBER(SEARCH("AEIC:", O128)), "Arkansas",ISNUMBER(SEARCH("STM:", O128)), "Texas",ISNUMBER(SEARCH("BILLING:", O128)), "Texas",ISNUMBER(SEARCH("AM:", O128)), "Texas",ISNUMBER(SEARCH("ARBlvd:", O128)), "Arkansas",ISNUMBER(SEARCH("Atlanta:", O128)), "Texas",ISNUMBER(SEARCH("Blanchard:", O128)), "Louisiana",ISNUMBER(SEARCH("Bryant:", O128)), "Arkansas",ISNUMBER(SEARCH("Choctaw:", O128)), "Oklahoma",ISNUMBER(SEARCH("Choc Allgy:", O128)), "Oklahoma",ISNUMBER(SEARCH("DeQueen:", O128)), "Arkansas",ISNUMBER(SEARCH("Edmond:", O128)), "Oklahoma",ISNUMBER(SEARCH("Edmd Aller:", O128)), "Oklahoma",ISNUMBER(SEARCH("Imaging:", O128)), "Texas",ISNUMBER(SEARCH("Longview:", O128)), "Texas",ISNUMBER(SEARCH("Marshall:", O128)), "Texas",ISNUMBER(SEARCH("Mar Allerg:", O128)), "Texas",ISNUMBER(SEARCH("Maumelle:", O128)), "Arkansas",ISNUMBER(SEARCH("MWC:", O128)), "Oklahoma",ISNUMBER(SEARCH("MWC Allgy:", O128)), "Oklahoma",ISNUMBER(SEARCH("Moore:", O128)), "Oklahoma",ISNUMBER(SEARCH("MooreAllgy:", O128)), "Oklahoma",ISNUMBER(SEARCH("MtPleasant:", O128)), "Texas",ISNUMBER(SEARCH("OccOffsite:", O128)), "Texas",ISNUMBER(SEARCH("Pain Mgmt:", O128)), "Texas",ISNUMBER(SEARCH("Paris:", O128)), "Texas",ISNUMBER(SEARCH("PT:", O128)), "Texas",ISNUMBER(SEARCH("RR Allergy:", O128)), "Texas",ISNUMBER(SEARCH("Sherwood:", O128)), "Arkansas",ISNUMBER(SEARCH("WV:", O128)), "Texas",ISNUMBER(SEARCH("Nur-Home:", O128)), "Texas",ISNUMBER(SEARCH("THC:", O128)), "Texas",ISNUMBER(SEARCH("WVTC:", O128)), "Texas",ISNUMBER(SEARCH("TSC:", O128)), "Texas",ISNUMBER(SEARCH("V-AR Blvd:", O128)), "Arkansas",ISNUMBER(SEARCH("V-Maumelle:", O128)), "Arkansas",ISNUMBER(SEARCH("V-Atlanta:", O128)), "Texas",ISNUMBER(SEARCH("VBlanchard:", O128)), "Louisiana",ISNUMBER(SEARCH("V-Bryant:", O128)), "Arkansas",ISNUMBER(SEARCH("V-Choctaw:", O128)), "Oklahoma",ISNUMBER(SEARCH("V-DeQueen:", O128)), "Arkansas",ISNUMBER(SEARCH("V-Longview:", O128)), "Texas",ISNUMBER(SEARCH("V-Marshall:", O128)), "Texas",ISNUMBER(SEARCH("V-MWC:", O128)), "Oklahoma",ISNUMBER(SEARCH("V-Moore:", O128)), "Oklahoma",ISNUMBER(SEARCH("V-MP:", O128)), "Texas",ISNUMBER(SEARCH("V-Edmond:", O128)), "Oklahoma",ISNUMBER(SEARCH("V-Paris:", O128)), "Texas",ISNUMBER(SEARCH("V-RR:", O128)), "Texas",ISNUMBER(SEARCH("V-Sherwood:", O128)), "Arkansas",ISNUMBER(SEARCH("V-WV:", O128)), "Texas",ISNUMBER(SEARCH("HealthCARE Express - Richmond Road", O128)), "Texas",ISNUMBER(SEARCH("HealthCARE Express - Occupational Medicine", O128)), "Texas")</f>
        <v>Arkansas</v>
      </c>
      <c r="Q128" t="s">
        <v>841</v>
      </c>
      <c r="R128" t="s">
        <v>876</v>
      </c>
      <c r="S128" t="s">
        <v>86</v>
      </c>
      <c r="T128" t="s">
        <v>936</v>
      </c>
      <c r="AF128" t="str" cm="1">
        <f t="array" ref="AF128">IF(SUMPRODUCT(--ISNUMBER(SEARCH("992",T128:AE128)))&gt;0, "E&amp;M", "No E&amp;M")</f>
        <v>No E&amp;M</v>
      </c>
      <c r="AG128" t="str">
        <f t="shared" si="7"/>
        <v>No E&amp;M</v>
      </c>
      <c r="AH128" t="str">
        <f t="shared" si="8"/>
        <v>No E&amp;M</v>
      </c>
      <c r="AI128" t="str">
        <f t="shared" si="10"/>
        <v>Little Rock Region</v>
      </c>
    </row>
    <row r="129" spans="1:35" x14ac:dyDescent="0.3">
      <c r="A129" t="s">
        <v>742</v>
      </c>
      <c r="B129" t="s">
        <v>357</v>
      </c>
      <c r="C129" t="s">
        <v>358</v>
      </c>
      <c r="D129" t="s">
        <v>743</v>
      </c>
      <c r="E129" t="s">
        <v>96</v>
      </c>
      <c r="F129" t="s">
        <v>19</v>
      </c>
      <c r="G129" t="s">
        <v>382</v>
      </c>
      <c r="H129" t="s">
        <v>62</v>
      </c>
      <c r="I129" t="s">
        <v>22</v>
      </c>
      <c r="J129" t="s">
        <v>22</v>
      </c>
      <c r="K129" t="s">
        <v>744</v>
      </c>
      <c r="L129" t="s">
        <v>745</v>
      </c>
      <c r="M129" t="s">
        <v>363</v>
      </c>
      <c r="N129" t="s">
        <v>746</v>
      </c>
      <c r="O129" t="s">
        <v>883</v>
      </c>
      <c r="P129" t="str" cm="1">
        <f t="array" ref="P129">_xlfn.IFS(ISNUMBER(SEARCH("AEIC:", O129)), "Arkansas",ISNUMBER(SEARCH("STM:", O129)), "Texas",ISNUMBER(SEARCH("BILLING:", O129)), "Texas",ISNUMBER(SEARCH("AM:", O129)), "Texas",ISNUMBER(SEARCH("ARBlvd:", O129)), "Arkansas",ISNUMBER(SEARCH("Atlanta:", O129)), "Texas",ISNUMBER(SEARCH("Blanchard:", O129)), "Louisiana",ISNUMBER(SEARCH("Bryant:", O129)), "Arkansas",ISNUMBER(SEARCH("Choctaw:", O129)), "Oklahoma",ISNUMBER(SEARCH("Choc Allgy:", O129)), "Oklahoma",ISNUMBER(SEARCH("DeQueen:", O129)), "Arkansas",ISNUMBER(SEARCH("Edmond:", O129)), "Oklahoma",ISNUMBER(SEARCH("Edmd Aller:", O129)), "Oklahoma",ISNUMBER(SEARCH("Imaging:", O129)), "Texas",ISNUMBER(SEARCH("Longview:", O129)), "Texas",ISNUMBER(SEARCH("Marshall:", O129)), "Texas",ISNUMBER(SEARCH("Mar Allerg:", O129)), "Texas",ISNUMBER(SEARCH("Maumelle:", O129)), "Arkansas",ISNUMBER(SEARCH("MWC:", O129)), "Oklahoma",ISNUMBER(SEARCH("MWC Allgy:", O129)), "Oklahoma",ISNUMBER(SEARCH("Moore:", O129)), "Oklahoma",ISNUMBER(SEARCH("MooreAllgy:", O129)), "Oklahoma",ISNUMBER(SEARCH("MtPleasant:", O129)), "Texas",ISNUMBER(SEARCH("OccOffsite:", O129)), "Texas",ISNUMBER(SEARCH("Pain Mgmt:", O129)), "Texas",ISNUMBER(SEARCH("Paris:", O129)), "Texas",ISNUMBER(SEARCH("PT:", O129)), "Texas",ISNUMBER(SEARCH("RR Allergy:", O129)), "Texas",ISNUMBER(SEARCH("Sherwood:", O129)), "Arkansas",ISNUMBER(SEARCH("WV:", O129)), "Texas",ISNUMBER(SEARCH("Nur-Home:", O129)), "Texas",ISNUMBER(SEARCH("THC:", O129)), "Texas",ISNUMBER(SEARCH("WVTC:", O129)), "Texas",ISNUMBER(SEARCH("TSC:", O129)), "Texas",ISNUMBER(SEARCH("V-AR Blvd:", O129)), "Arkansas",ISNUMBER(SEARCH("V-Maumelle:", O129)), "Arkansas",ISNUMBER(SEARCH("V-Atlanta:", O129)), "Texas",ISNUMBER(SEARCH("VBlanchard:", O129)), "Louisiana",ISNUMBER(SEARCH("V-Bryant:", O129)), "Arkansas",ISNUMBER(SEARCH("V-Choctaw:", O129)), "Oklahoma",ISNUMBER(SEARCH("V-DeQueen:", O129)), "Arkansas",ISNUMBER(SEARCH("V-Longview:", O129)), "Texas",ISNUMBER(SEARCH("V-Marshall:", O129)), "Texas",ISNUMBER(SEARCH("V-MWC:", O129)), "Oklahoma",ISNUMBER(SEARCH("V-Moore:", O129)), "Oklahoma",ISNUMBER(SEARCH("V-MP:", O129)), "Texas",ISNUMBER(SEARCH("V-Edmond:", O129)), "Oklahoma",ISNUMBER(SEARCH("V-Paris:", O129)), "Texas",ISNUMBER(SEARCH("V-RR:", O129)), "Texas",ISNUMBER(SEARCH("V-Sherwood:", O129)), "Arkansas",ISNUMBER(SEARCH("V-WV:", O129)), "Texas",ISNUMBER(SEARCH("HealthCARE Express - Richmond Road", O129)), "Texas",ISNUMBER(SEARCH("HealthCARE Express - Occupational Medicine", O129)), "Texas")</f>
        <v>Arkansas</v>
      </c>
      <c r="Q129" t="s">
        <v>841</v>
      </c>
      <c r="R129" t="s">
        <v>879</v>
      </c>
      <c r="S129" t="s">
        <v>96</v>
      </c>
      <c r="T129" t="s">
        <v>848</v>
      </c>
      <c r="U129" t="s">
        <v>861</v>
      </c>
      <c r="V129" t="s">
        <v>864</v>
      </c>
      <c r="W129" t="s">
        <v>867</v>
      </c>
      <c r="AF129" t="str" cm="1">
        <f t="array" ref="AF129">IF(SUMPRODUCT(--ISNUMBER(SEARCH("992",T129:AE129)))&gt;0, "E&amp;M", "No E&amp;M")</f>
        <v>E&amp;M</v>
      </c>
      <c r="AG129" t="str">
        <f t="shared" si="7"/>
        <v>99214</v>
      </c>
      <c r="AH129" t="str">
        <f t="shared" si="8"/>
        <v>Estd. Patient</v>
      </c>
      <c r="AI129" t="str">
        <f t="shared" si="10"/>
        <v>Little Rock Region</v>
      </c>
    </row>
    <row r="130" spans="1:35" x14ac:dyDescent="0.3">
      <c r="A130" t="s">
        <v>747</v>
      </c>
      <c r="B130" t="s">
        <v>357</v>
      </c>
      <c r="C130" t="s">
        <v>28</v>
      </c>
      <c r="D130" t="s">
        <v>748</v>
      </c>
      <c r="E130" t="s">
        <v>39</v>
      </c>
      <c r="F130" t="s">
        <v>19</v>
      </c>
      <c r="G130" t="s">
        <v>141</v>
      </c>
      <c r="H130" t="s">
        <v>749</v>
      </c>
      <c r="I130" t="s">
        <v>22</v>
      </c>
      <c r="J130" t="s">
        <v>22</v>
      </c>
      <c r="K130" t="s">
        <v>750</v>
      </c>
      <c r="L130" t="s">
        <v>751</v>
      </c>
      <c r="M130" t="s">
        <v>33</v>
      </c>
      <c r="N130" t="s">
        <v>752</v>
      </c>
      <c r="O130" t="s">
        <v>846</v>
      </c>
      <c r="P130" t="str" cm="1">
        <f t="array" ref="P130">_xlfn.IFS(ISNUMBER(SEARCH("AEIC:", O130)), "Arkansas",ISNUMBER(SEARCH("STM:", O130)), "Texas",ISNUMBER(SEARCH("BILLING:", O130)), "Texas",ISNUMBER(SEARCH("AM:", O130)), "Texas",ISNUMBER(SEARCH("ARBlvd:", O130)), "Arkansas",ISNUMBER(SEARCH("Atlanta:", O130)), "Texas",ISNUMBER(SEARCH("Blanchard:", O130)), "Louisiana",ISNUMBER(SEARCH("Bryant:", O130)), "Arkansas",ISNUMBER(SEARCH("Choctaw:", O130)), "Oklahoma",ISNUMBER(SEARCH("Choc Allgy:", O130)), "Oklahoma",ISNUMBER(SEARCH("DeQueen:", O130)), "Arkansas",ISNUMBER(SEARCH("Edmond:", O130)), "Oklahoma",ISNUMBER(SEARCH("Edmd Aller:", O130)), "Oklahoma",ISNUMBER(SEARCH("Imaging:", O130)), "Texas",ISNUMBER(SEARCH("Longview:", O130)), "Texas",ISNUMBER(SEARCH("Marshall:", O130)), "Texas",ISNUMBER(SEARCH("Mar Allerg:", O130)), "Texas",ISNUMBER(SEARCH("Maumelle:", O130)), "Arkansas",ISNUMBER(SEARCH("MWC:", O130)), "Oklahoma",ISNUMBER(SEARCH("MWC Allgy:", O130)), "Oklahoma",ISNUMBER(SEARCH("Moore:", O130)), "Oklahoma",ISNUMBER(SEARCH("MooreAllgy:", O130)), "Oklahoma",ISNUMBER(SEARCH("MtPleasant:", O130)), "Texas",ISNUMBER(SEARCH("OccOffsite:", O130)), "Texas",ISNUMBER(SEARCH("Pain Mgmt:", O130)), "Texas",ISNUMBER(SEARCH("Paris:", O130)), "Texas",ISNUMBER(SEARCH("PT:", O130)), "Texas",ISNUMBER(SEARCH("RR Allergy:", O130)), "Texas",ISNUMBER(SEARCH("Sherwood:", O130)), "Arkansas",ISNUMBER(SEARCH("WV:", O130)), "Texas",ISNUMBER(SEARCH("Nur-Home:", O130)), "Texas",ISNUMBER(SEARCH("THC:", O130)), "Texas",ISNUMBER(SEARCH("WVTC:", O130)), "Texas",ISNUMBER(SEARCH("TSC:", O130)), "Texas",ISNUMBER(SEARCH("V-AR Blvd:", O130)), "Arkansas",ISNUMBER(SEARCH("V-Maumelle:", O130)), "Arkansas",ISNUMBER(SEARCH("V-Atlanta:", O130)), "Texas",ISNUMBER(SEARCH("VBlanchard:", O130)), "Louisiana",ISNUMBER(SEARCH("V-Bryant:", O130)), "Arkansas",ISNUMBER(SEARCH("V-Choctaw:", O130)), "Oklahoma",ISNUMBER(SEARCH("V-DeQueen:", O130)), "Arkansas",ISNUMBER(SEARCH("V-Longview:", O130)), "Texas",ISNUMBER(SEARCH("V-Marshall:", O130)), "Texas",ISNUMBER(SEARCH("V-MWC:", O130)), "Oklahoma",ISNUMBER(SEARCH("V-Moore:", O130)), "Oklahoma",ISNUMBER(SEARCH("V-MP:", O130)), "Texas",ISNUMBER(SEARCH("V-Edmond:", O130)), "Oklahoma",ISNUMBER(SEARCH("V-Paris:", O130)), "Texas",ISNUMBER(SEARCH("V-RR:", O130)), "Texas",ISNUMBER(SEARCH("V-Sherwood:", O130)), "Arkansas",ISNUMBER(SEARCH("V-WV:", O130)), "Texas",ISNUMBER(SEARCH("HealthCARE Express - Richmond Road", O130)), "Texas",ISNUMBER(SEARCH("HealthCARE Express - Occupational Medicine", O130)), "Texas")</f>
        <v>Texas</v>
      </c>
      <c r="Q130" t="s">
        <v>841</v>
      </c>
      <c r="R130" t="s">
        <v>856</v>
      </c>
      <c r="S130" t="s">
        <v>39</v>
      </c>
      <c r="T130" t="s">
        <v>848</v>
      </c>
      <c r="U130" t="s">
        <v>873</v>
      </c>
      <c r="AF130" t="str" cm="1">
        <f t="array" ref="AF130">IF(SUMPRODUCT(--ISNUMBER(SEARCH("992",T130:AE130)))&gt;0, "E&amp;M", "No E&amp;M")</f>
        <v>E&amp;M</v>
      </c>
      <c r="AG130" t="str">
        <f t="shared" si="7"/>
        <v>99214</v>
      </c>
      <c r="AH130" t="str">
        <f t="shared" si="8"/>
        <v>Estd. Patient</v>
      </c>
      <c r="AI130" t="str">
        <f t="shared" si="10"/>
        <v>Texas/La/DQ/Ark Blvd</v>
      </c>
    </row>
    <row r="131" spans="1:35" x14ac:dyDescent="0.3">
      <c r="A131" t="s">
        <v>753</v>
      </c>
      <c r="B131" t="s">
        <v>357</v>
      </c>
      <c r="C131" t="s">
        <v>358</v>
      </c>
      <c r="D131" t="s">
        <v>754</v>
      </c>
      <c r="E131" t="s">
        <v>755</v>
      </c>
      <c r="F131" t="s">
        <v>19</v>
      </c>
      <c r="G131" t="s">
        <v>700</v>
      </c>
      <c r="H131" t="s">
        <v>301</v>
      </c>
      <c r="I131" t="s">
        <v>22</v>
      </c>
      <c r="J131" t="s">
        <v>22</v>
      </c>
      <c r="K131" t="s">
        <v>756</v>
      </c>
      <c r="L131" t="s">
        <v>757</v>
      </c>
      <c r="M131" t="s">
        <v>363</v>
      </c>
      <c r="N131" t="s">
        <v>758</v>
      </c>
      <c r="O131" t="s">
        <v>883</v>
      </c>
      <c r="P131" t="str" cm="1">
        <f t="array" ref="P131">_xlfn.IFS(ISNUMBER(SEARCH("AEIC:", O131)), "Arkansas",ISNUMBER(SEARCH("STM:", O131)), "Texas",ISNUMBER(SEARCH("BILLING:", O131)), "Texas",ISNUMBER(SEARCH("AM:", O131)), "Texas",ISNUMBER(SEARCH("ARBlvd:", O131)), "Arkansas",ISNUMBER(SEARCH("Atlanta:", O131)), "Texas",ISNUMBER(SEARCH("Blanchard:", O131)), "Louisiana",ISNUMBER(SEARCH("Bryant:", O131)), "Arkansas",ISNUMBER(SEARCH("Choctaw:", O131)), "Oklahoma",ISNUMBER(SEARCH("Choc Allgy:", O131)), "Oklahoma",ISNUMBER(SEARCH("DeQueen:", O131)), "Arkansas",ISNUMBER(SEARCH("Edmond:", O131)), "Oklahoma",ISNUMBER(SEARCH("Edmd Aller:", O131)), "Oklahoma",ISNUMBER(SEARCH("Imaging:", O131)), "Texas",ISNUMBER(SEARCH("Longview:", O131)), "Texas",ISNUMBER(SEARCH("Marshall:", O131)), "Texas",ISNUMBER(SEARCH("Mar Allerg:", O131)), "Texas",ISNUMBER(SEARCH("Maumelle:", O131)), "Arkansas",ISNUMBER(SEARCH("MWC:", O131)), "Oklahoma",ISNUMBER(SEARCH("MWC Allgy:", O131)), "Oklahoma",ISNUMBER(SEARCH("Moore:", O131)), "Oklahoma",ISNUMBER(SEARCH("MooreAllgy:", O131)), "Oklahoma",ISNUMBER(SEARCH("MtPleasant:", O131)), "Texas",ISNUMBER(SEARCH("OccOffsite:", O131)), "Texas",ISNUMBER(SEARCH("Pain Mgmt:", O131)), "Texas",ISNUMBER(SEARCH("Paris:", O131)), "Texas",ISNUMBER(SEARCH("PT:", O131)), "Texas",ISNUMBER(SEARCH("RR Allergy:", O131)), "Texas",ISNUMBER(SEARCH("Sherwood:", O131)), "Arkansas",ISNUMBER(SEARCH("WV:", O131)), "Texas",ISNUMBER(SEARCH("Nur-Home:", O131)), "Texas",ISNUMBER(SEARCH("THC:", O131)), "Texas",ISNUMBER(SEARCH("WVTC:", O131)), "Texas",ISNUMBER(SEARCH("TSC:", O131)), "Texas",ISNUMBER(SEARCH("V-AR Blvd:", O131)), "Arkansas",ISNUMBER(SEARCH("V-Maumelle:", O131)), "Arkansas",ISNUMBER(SEARCH("V-Atlanta:", O131)), "Texas",ISNUMBER(SEARCH("VBlanchard:", O131)), "Louisiana",ISNUMBER(SEARCH("V-Bryant:", O131)), "Arkansas",ISNUMBER(SEARCH("V-Choctaw:", O131)), "Oklahoma",ISNUMBER(SEARCH("V-DeQueen:", O131)), "Arkansas",ISNUMBER(SEARCH("V-Longview:", O131)), "Texas",ISNUMBER(SEARCH("V-Marshall:", O131)), "Texas",ISNUMBER(SEARCH("V-MWC:", O131)), "Oklahoma",ISNUMBER(SEARCH("V-Moore:", O131)), "Oklahoma",ISNUMBER(SEARCH("V-MP:", O131)), "Texas",ISNUMBER(SEARCH("V-Edmond:", O131)), "Oklahoma",ISNUMBER(SEARCH("V-Paris:", O131)), "Texas",ISNUMBER(SEARCH("V-RR:", O131)), "Texas",ISNUMBER(SEARCH("V-Sherwood:", O131)), "Arkansas",ISNUMBER(SEARCH("V-WV:", O131)), "Texas",ISNUMBER(SEARCH("HealthCARE Express - Richmond Road", O131)), "Texas",ISNUMBER(SEARCH("HealthCARE Express - Occupational Medicine", O131)), "Texas")</f>
        <v>Arkansas</v>
      </c>
      <c r="Q131" t="s">
        <v>841</v>
      </c>
      <c r="R131" t="s">
        <v>532</v>
      </c>
      <c r="S131" t="s">
        <v>755</v>
      </c>
      <c r="T131" t="s">
        <v>848</v>
      </c>
      <c r="U131" t="s">
        <v>880</v>
      </c>
      <c r="AF131" t="str" cm="1">
        <f t="array" ref="AF131">IF(SUMPRODUCT(--ISNUMBER(SEARCH("992",T131:AE131)))&gt;0, "E&amp;M", "No E&amp;M")</f>
        <v>E&amp;M</v>
      </c>
      <c r="AG131" t="str">
        <f t="shared" ref="AG131:AG143" si="11">IFERROR(MID(T131,SEARCH("992",T131),5), IFERROR(MID(U131,SEARCH("992",U131),5), IFERROR(MID(V131,SEARCH("992",V131),5), IFERROR(MID(W131,SEARCH("992",W131),5), IFERROR(MID(X131,SEARCH("992",X131),5), IFERROR(MID(Y131,SEARCH("992",Y131),5), IFERROR(MID(Z131,SEARCH("992",Z131),5), IFERROR(MID(AA131,SEARCH("992",AA131),5), IFERROR(MID(AB131,SEARCH("992",AB131),5), IFERROR(MID(AC131,SEARCH("992",AC131),5), IFERROR(MID(AD131,SEARCH("992",AD131),5), IFERROR(MID(AE131,SEARCH("992",AE131),5), "No E&amp;M"))))))))))))</f>
        <v>99214</v>
      </c>
      <c r="AH131" t="str">
        <f t="shared" ref="AH131:AH143" si="12">IF(ISNUMBER(SEARCH("9920", AG131)), "New Patient", IF(ISNUMBER(SEARCH("9921", AG131)), "Estd. Patient", IF(ISNUMBER(SEARCH("No E&amp;M", AG131)), "No E&amp;M", "")))</f>
        <v>Estd. Patient</v>
      </c>
      <c r="AI131" t="str">
        <f t="shared" si="10"/>
        <v>Little Rock Region</v>
      </c>
    </row>
    <row r="132" spans="1:35" x14ac:dyDescent="0.3">
      <c r="A132" t="s">
        <v>759</v>
      </c>
      <c r="B132" t="s">
        <v>357</v>
      </c>
      <c r="C132" t="s">
        <v>386</v>
      </c>
      <c r="D132" t="s">
        <v>760</v>
      </c>
      <c r="E132" t="s">
        <v>96</v>
      </c>
      <c r="F132" t="s">
        <v>19</v>
      </c>
      <c r="G132" t="s">
        <v>761</v>
      </c>
      <c r="H132" t="s">
        <v>88</v>
      </c>
      <c r="I132" t="s">
        <v>22</v>
      </c>
      <c r="J132" t="s">
        <v>22</v>
      </c>
      <c r="K132" t="s">
        <v>762</v>
      </c>
      <c r="L132" t="s">
        <v>763</v>
      </c>
      <c r="M132" t="s">
        <v>392</v>
      </c>
      <c r="N132" t="s">
        <v>764</v>
      </c>
      <c r="O132" t="s">
        <v>874</v>
      </c>
      <c r="P132" t="str" cm="1">
        <f t="array" ref="P132">_xlfn.IFS(ISNUMBER(SEARCH("AEIC:", O132)), "Arkansas",ISNUMBER(SEARCH("STM:", O132)), "Texas",ISNUMBER(SEARCH("BILLING:", O132)), "Texas",ISNUMBER(SEARCH("AM:", O132)), "Texas",ISNUMBER(SEARCH("ARBlvd:", O132)), "Arkansas",ISNUMBER(SEARCH("Atlanta:", O132)), "Texas",ISNUMBER(SEARCH("Blanchard:", O132)), "Louisiana",ISNUMBER(SEARCH("Bryant:", O132)), "Arkansas",ISNUMBER(SEARCH("Choctaw:", O132)), "Oklahoma",ISNUMBER(SEARCH("Choc Allgy:", O132)), "Oklahoma",ISNUMBER(SEARCH("DeQueen:", O132)), "Arkansas",ISNUMBER(SEARCH("Edmond:", O132)), "Oklahoma",ISNUMBER(SEARCH("Edmd Aller:", O132)), "Oklahoma",ISNUMBER(SEARCH("Imaging:", O132)), "Texas",ISNUMBER(SEARCH("Longview:", O132)), "Texas",ISNUMBER(SEARCH("Marshall:", O132)), "Texas",ISNUMBER(SEARCH("Mar Allerg:", O132)), "Texas",ISNUMBER(SEARCH("Maumelle:", O132)), "Arkansas",ISNUMBER(SEARCH("MWC:", O132)), "Oklahoma",ISNUMBER(SEARCH("MWC Allgy:", O132)), "Oklahoma",ISNUMBER(SEARCH("Moore:", O132)), "Oklahoma",ISNUMBER(SEARCH("MooreAllgy:", O132)), "Oklahoma",ISNUMBER(SEARCH("MtPleasant:", O132)), "Texas",ISNUMBER(SEARCH("OccOffsite:", O132)), "Texas",ISNUMBER(SEARCH("Pain Mgmt:", O132)), "Texas",ISNUMBER(SEARCH("Paris:", O132)), "Texas",ISNUMBER(SEARCH("PT:", O132)), "Texas",ISNUMBER(SEARCH("RR Allergy:", O132)), "Texas",ISNUMBER(SEARCH("Sherwood:", O132)), "Arkansas",ISNUMBER(SEARCH("WV:", O132)), "Texas",ISNUMBER(SEARCH("Nur-Home:", O132)), "Texas",ISNUMBER(SEARCH("THC:", O132)), "Texas",ISNUMBER(SEARCH("WVTC:", O132)), "Texas",ISNUMBER(SEARCH("TSC:", O132)), "Texas",ISNUMBER(SEARCH("V-AR Blvd:", O132)), "Arkansas",ISNUMBER(SEARCH("V-Maumelle:", O132)), "Arkansas",ISNUMBER(SEARCH("V-Atlanta:", O132)), "Texas",ISNUMBER(SEARCH("VBlanchard:", O132)), "Louisiana",ISNUMBER(SEARCH("V-Bryant:", O132)), "Arkansas",ISNUMBER(SEARCH("V-Choctaw:", O132)), "Oklahoma",ISNUMBER(SEARCH("V-DeQueen:", O132)), "Arkansas",ISNUMBER(SEARCH("V-Longview:", O132)), "Texas",ISNUMBER(SEARCH("V-Marshall:", O132)), "Texas",ISNUMBER(SEARCH("V-MWC:", O132)), "Oklahoma",ISNUMBER(SEARCH("V-Moore:", O132)), "Oklahoma",ISNUMBER(SEARCH("V-MP:", O132)), "Texas",ISNUMBER(SEARCH("V-Edmond:", O132)), "Oklahoma",ISNUMBER(SEARCH("V-Paris:", O132)), "Texas",ISNUMBER(SEARCH("V-RR:", O132)), "Texas",ISNUMBER(SEARCH("V-Sherwood:", O132)), "Arkansas",ISNUMBER(SEARCH("V-WV:", O132)), "Texas",ISNUMBER(SEARCH("HealthCARE Express - Richmond Road", O132)), "Texas",ISNUMBER(SEARCH("HealthCARE Express - Occupational Medicine", O132)), "Texas")</f>
        <v>Arkansas</v>
      </c>
      <c r="Q132" t="s">
        <v>841</v>
      </c>
      <c r="R132" t="s">
        <v>879</v>
      </c>
      <c r="S132" t="s">
        <v>96</v>
      </c>
      <c r="T132" t="s">
        <v>848</v>
      </c>
      <c r="U132" t="s">
        <v>880</v>
      </c>
      <c r="V132" t="s">
        <v>844</v>
      </c>
      <c r="W132" t="s">
        <v>934</v>
      </c>
      <c r="AF132" t="str" cm="1">
        <f t="array" ref="AF132">IF(SUMPRODUCT(--ISNUMBER(SEARCH("992",T132:AE132)))&gt;0, "E&amp;M", "No E&amp;M")</f>
        <v>E&amp;M</v>
      </c>
      <c r="AG132" t="str">
        <f t="shared" si="11"/>
        <v>99214</v>
      </c>
      <c r="AH132" t="str">
        <f t="shared" si="12"/>
        <v>Estd. Patient</v>
      </c>
      <c r="AI132" t="str">
        <f t="shared" si="10"/>
        <v>Little Rock Region</v>
      </c>
    </row>
    <row r="133" spans="1:35" x14ac:dyDescent="0.3">
      <c r="A133" t="s">
        <v>765</v>
      </c>
      <c r="B133" t="s">
        <v>357</v>
      </c>
      <c r="C133" t="s">
        <v>386</v>
      </c>
      <c r="D133" t="s">
        <v>766</v>
      </c>
      <c r="E133" t="s">
        <v>342</v>
      </c>
      <c r="F133" t="s">
        <v>19</v>
      </c>
      <c r="G133" t="s">
        <v>767</v>
      </c>
      <c r="H133" t="s">
        <v>98</v>
      </c>
      <c r="I133" t="s">
        <v>22</v>
      </c>
      <c r="J133" t="s">
        <v>22</v>
      </c>
      <c r="K133" t="s">
        <v>768</v>
      </c>
      <c r="L133" t="s">
        <v>769</v>
      </c>
      <c r="M133" t="s">
        <v>392</v>
      </c>
      <c r="N133" t="s">
        <v>766</v>
      </c>
      <c r="O133" t="s">
        <v>874</v>
      </c>
      <c r="P133" t="str" cm="1">
        <f t="array" ref="P133">_xlfn.IFS(ISNUMBER(SEARCH("AEIC:", O133)), "Arkansas",ISNUMBER(SEARCH("STM:", O133)), "Texas",ISNUMBER(SEARCH("BILLING:", O133)), "Texas",ISNUMBER(SEARCH("AM:", O133)), "Texas",ISNUMBER(SEARCH("ARBlvd:", O133)), "Arkansas",ISNUMBER(SEARCH("Atlanta:", O133)), "Texas",ISNUMBER(SEARCH("Blanchard:", O133)), "Louisiana",ISNUMBER(SEARCH("Bryant:", O133)), "Arkansas",ISNUMBER(SEARCH("Choctaw:", O133)), "Oklahoma",ISNUMBER(SEARCH("Choc Allgy:", O133)), "Oklahoma",ISNUMBER(SEARCH("DeQueen:", O133)), "Arkansas",ISNUMBER(SEARCH("Edmond:", O133)), "Oklahoma",ISNUMBER(SEARCH("Edmd Aller:", O133)), "Oklahoma",ISNUMBER(SEARCH("Imaging:", O133)), "Texas",ISNUMBER(SEARCH("Longview:", O133)), "Texas",ISNUMBER(SEARCH("Marshall:", O133)), "Texas",ISNUMBER(SEARCH("Mar Allerg:", O133)), "Texas",ISNUMBER(SEARCH("Maumelle:", O133)), "Arkansas",ISNUMBER(SEARCH("MWC:", O133)), "Oklahoma",ISNUMBER(SEARCH("MWC Allgy:", O133)), "Oklahoma",ISNUMBER(SEARCH("Moore:", O133)), "Oklahoma",ISNUMBER(SEARCH("MooreAllgy:", O133)), "Oklahoma",ISNUMBER(SEARCH("MtPleasant:", O133)), "Texas",ISNUMBER(SEARCH("OccOffsite:", O133)), "Texas",ISNUMBER(SEARCH("Pain Mgmt:", O133)), "Texas",ISNUMBER(SEARCH("Paris:", O133)), "Texas",ISNUMBER(SEARCH("PT:", O133)), "Texas",ISNUMBER(SEARCH("RR Allergy:", O133)), "Texas",ISNUMBER(SEARCH("Sherwood:", O133)), "Arkansas",ISNUMBER(SEARCH("WV:", O133)), "Texas",ISNUMBER(SEARCH("Nur-Home:", O133)), "Texas",ISNUMBER(SEARCH("THC:", O133)), "Texas",ISNUMBER(SEARCH("WVTC:", O133)), "Texas",ISNUMBER(SEARCH("TSC:", O133)), "Texas",ISNUMBER(SEARCH("V-AR Blvd:", O133)), "Arkansas",ISNUMBER(SEARCH("V-Maumelle:", O133)), "Arkansas",ISNUMBER(SEARCH("V-Atlanta:", O133)), "Texas",ISNUMBER(SEARCH("VBlanchard:", O133)), "Louisiana",ISNUMBER(SEARCH("V-Bryant:", O133)), "Arkansas",ISNUMBER(SEARCH("V-Choctaw:", O133)), "Oklahoma",ISNUMBER(SEARCH("V-DeQueen:", O133)), "Arkansas",ISNUMBER(SEARCH("V-Longview:", O133)), "Texas",ISNUMBER(SEARCH("V-Marshall:", O133)), "Texas",ISNUMBER(SEARCH("V-MWC:", O133)), "Oklahoma",ISNUMBER(SEARCH("V-Moore:", O133)), "Oklahoma",ISNUMBER(SEARCH("V-MP:", O133)), "Texas",ISNUMBER(SEARCH("V-Edmond:", O133)), "Oklahoma",ISNUMBER(SEARCH("V-Paris:", O133)), "Texas",ISNUMBER(SEARCH("V-RR:", O133)), "Texas",ISNUMBER(SEARCH("V-Sherwood:", O133)), "Arkansas",ISNUMBER(SEARCH("V-WV:", O133)), "Texas",ISNUMBER(SEARCH("HealthCARE Express - Richmond Road", O133)), "Texas",ISNUMBER(SEARCH("HealthCARE Express - Occupational Medicine", O133)), "Texas")</f>
        <v>Arkansas</v>
      </c>
      <c r="Q133" t="s">
        <v>841</v>
      </c>
      <c r="R133" t="s">
        <v>876</v>
      </c>
      <c r="S133" t="s">
        <v>342</v>
      </c>
      <c r="T133" t="s">
        <v>848</v>
      </c>
      <c r="U133" t="s">
        <v>875</v>
      </c>
      <c r="V133" t="s">
        <v>844</v>
      </c>
      <c r="W133" t="s">
        <v>870</v>
      </c>
      <c r="X133" t="s">
        <v>937</v>
      </c>
      <c r="AF133" t="str" cm="1">
        <f t="array" ref="AF133">IF(SUMPRODUCT(--ISNUMBER(SEARCH("992",T133:AE133)))&gt;0, "E&amp;M", "No E&amp;M")</f>
        <v>E&amp;M</v>
      </c>
      <c r="AG133" t="str">
        <f t="shared" si="11"/>
        <v>99214</v>
      </c>
      <c r="AH133" t="str">
        <f t="shared" si="12"/>
        <v>Estd. Patient</v>
      </c>
      <c r="AI133" t="str">
        <f t="shared" si="10"/>
        <v>Little Rock Region</v>
      </c>
    </row>
    <row r="134" spans="1:35" x14ac:dyDescent="0.3">
      <c r="A134" t="s">
        <v>770</v>
      </c>
      <c r="B134" t="s">
        <v>357</v>
      </c>
      <c r="C134" t="s">
        <v>240</v>
      </c>
      <c r="D134" t="s">
        <v>771</v>
      </c>
      <c r="E134" t="s">
        <v>772</v>
      </c>
      <c r="F134" t="s">
        <v>19</v>
      </c>
      <c r="G134" t="s">
        <v>456</v>
      </c>
      <c r="H134" t="s">
        <v>22</v>
      </c>
      <c r="I134" t="s">
        <v>22</v>
      </c>
      <c r="J134" t="s">
        <v>22</v>
      </c>
      <c r="K134" t="s">
        <v>456</v>
      </c>
      <c r="L134" t="s">
        <v>773</v>
      </c>
      <c r="M134" t="s">
        <v>244</v>
      </c>
      <c r="N134" t="s">
        <v>771</v>
      </c>
      <c r="O134" t="s">
        <v>890</v>
      </c>
      <c r="P134" t="str" cm="1">
        <f t="array" ref="P134">_xlfn.IFS(ISNUMBER(SEARCH("AEIC:", O134)), "Arkansas",ISNUMBER(SEARCH("STM:", O134)), "Texas",ISNUMBER(SEARCH("BILLING:", O134)), "Texas",ISNUMBER(SEARCH("AM:", O134)), "Texas",ISNUMBER(SEARCH("ARBlvd:", O134)), "Arkansas",ISNUMBER(SEARCH("Atlanta:", O134)), "Texas",ISNUMBER(SEARCH("Blanchard:", O134)), "Louisiana",ISNUMBER(SEARCH("Bryant:", O134)), "Arkansas",ISNUMBER(SEARCH("Choctaw:", O134)), "Oklahoma",ISNUMBER(SEARCH("Choc Allgy:", O134)), "Oklahoma",ISNUMBER(SEARCH("DeQueen:", O134)), "Arkansas",ISNUMBER(SEARCH("Edmond:", O134)), "Oklahoma",ISNUMBER(SEARCH("Edmd Aller:", O134)), "Oklahoma",ISNUMBER(SEARCH("Imaging:", O134)), "Texas",ISNUMBER(SEARCH("Longview:", O134)), "Texas",ISNUMBER(SEARCH("Marshall:", O134)), "Texas",ISNUMBER(SEARCH("Mar Allerg:", O134)), "Texas",ISNUMBER(SEARCH("Maumelle:", O134)), "Arkansas",ISNUMBER(SEARCH("MWC:", O134)), "Oklahoma",ISNUMBER(SEARCH("MWC Allgy:", O134)), "Oklahoma",ISNUMBER(SEARCH("Moore:", O134)), "Oklahoma",ISNUMBER(SEARCH("MooreAllgy:", O134)), "Oklahoma",ISNUMBER(SEARCH("MtPleasant:", O134)), "Texas",ISNUMBER(SEARCH("OccOffsite:", O134)), "Texas",ISNUMBER(SEARCH("Pain Mgmt:", O134)), "Texas",ISNUMBER(SEARCH("Paris:", O134)), "Texas",ISNUMBER(SEARCH("PT:", O134)), "Texas",ISNUMBER(SEARCH("RR Allergy:", O134)), "Texas",ISNUMBER(SEARCH("Sherwood:", O134)), "Arkansas",ISNUMBER(SEARCH("WV:", O134)), "Texas",ISNUMBER(SEARCH("Nur-Home:", O134)), "Texas",ISNUMBER(SEARCH("THC:", O134)), "Texas",ISNUMBER(SEARCH("WVTC:", O134)), "Texas",ISNUMBER(SEARCH("TSC:", O134)), "Texas",ISNUMBER(SEARCH("V-AR Blvd:", O134)), "Arkansas",ISNUMBER(SEARCH("V-Maumelle:", O134)), "Arkansas",ISNUMBER(SEARCH("V-Atlanta:", O134)), "Texas",ISNUMBER(SEARCH("VBlanchard:", O134)), "Louisiana",ISNUMBER(SEARCH("V-Bryant:", O134)), "Arkansas",ISNUMBER(SEARCH("V-Choctaw:", O134)), "Oklahoma",ISNUMBER(SEARCH("V-DeQueen:", O134)), "Arkansas",ISNUMBER(SEARCH("V-Longview:", O134)), "Texas",ISNUMBER(SEARCH("V-Marshall:", O134)), "Texas",ISNUMBER(SEARCH("V-MWC:", O134)), "Oklahoma",ISNUMBER(SEARCH("V-Moore:", O134)), "Oklahoma",ISNUMBER(SEARCH("V-MP:", O134)), "Texas",ISNUMBER(SEARCH("V-Edmond:", O134)), "Oklahoma",ISNUMBER(SEARCH("V-Paris:", O134)), "Texas",ISNUMBER(SEARCH("V-RR:", O134)), "Texas",ISNUMBER(SEARCH("V-Sherwood:", O134)), "Arkansas",ISNUMBER(SEARCH("V-WV:", O134)), "Texas",ISNUMBER(SEARCH("HealthCARE Express - Richmond Road", O134)), "Texas",ISNUMBER(SEARCH("HealthCARE Express - Occupational Medicine", O134)), "Texas")</f>
        <v>Arkansas</v>
      </c>
      <c r="Q134" t="s">
        <v>841</v>
      </c>
      <c r="R134" t="s">
        <v>938</v>
      </c>
      <c r="S134" t="s">
        <v>772</v>
      </c>
      <c r="T134" t="s">
        <v>857</v>
      </c>
      <c r="U134" t="s">
        <v>870</v>
      </c>
      <c r="AF134" t="str" cm="1">
        <f t="array" ref="AF134">IF(SUMPRODUCT(--ISNUMBER(SEARCH("992",T134:AE134)))&gt;0, "E&amp;M", "No E&amp;M")</f>
        <v>E&amp;M</v>
      </c>
      <c r="AG134" t="str">
        <f t="shared" si="11"/>
        <v>99204</v>
      </c>
      <c r="AH134" t="str">
        <f t="shared" si="12"/>
        <v>New Patient</v>
      </c>
      <c r="AI134" t="str">
        <f t="shared" si="10"/>
        <v>-</v>
      </c>
    </row>
    <row r="135" spans="1:35" x14ac:dyDescent="0.3">
      <c r="A135" t="s">
        <v>774</v>
      </c>
      <c r="B135" t="s">
        <v>357</v>
      </c>
      <c r="C135" t="s">
        <v>358</v>
      </c>
      <c r="D135" t="s">
        <v>775</v>
      </c>
      <c r="E135" t="s">
        <v>96</v>
      </c>
      <c r="F135" t="s">
        <v>19</v>
      </c>
      <c r="G135" t="s">
        <v>97</v>
      </c>
      <c r="H135" t="s">
        <v>301</v>
      </c>
      <c r="I135" t="s">
        <v>22</v>
      </c>
      <c r="J135" t="s">
        <v>22</v>
      </c>
      <c r="K135" t="s">
        <v>776</v>
      </c>
      <c r="L135" t="s">
        <v>777</v>
      </c>
      <c r="M135" t="s">
        <v>363</v>
      </c>
      <c r="N135" t="s">
        <v>775</v>
      </c>
      <c r="O135" t="s">
        <v>883</v>
      </c>
      <c r="P135" t="str" cm="1">
        <f t="array" ref="P135">_xlfn.IFS(ISNUMBER(SEARCH("AEIC:", O135)), "Arkansas",ISNUMBER(SEARCH("STM:", O135)), "Texas",ISNUMBER(SEARCH("BILLING:", O135)), "Texas",ISNUMBER(SEARCH("AM:", O135)), "Texas",ISNUMBER(SEARCH("ARBlvd:", O135)), "Arkansas",ISNUMBER(SEARCH("Atlanta:", O135)), "Texas",ISNUMBER(SEARCH("Blanchard:", O135)), "Louisiana",ISNUMBER(SEARCH("Bryant:", O135)), "Arkansas",ISNUMBER(SEARCH("Choctaw:", O135)), "Oklahoma",ISNUMBER(SEARCH("Choc Allgy:", O135)), "Oklahoma",ISNUMBER(SEARCH("DeQueen:", O135)), "Arkansas",ISNUMBER(SEARCH("Edmond:", O135)), "Oklahoma",ISNUMBER(SEARCH("Edmd Aller:", O135)), "Oklahoma",ISNUMBER(SEARCH("Imaging:", O135)), "Texas",ISNUMBER(SEARCH("Longview:", O135)), "Texas",ISNUMBER(SEARCH("Marshall:", O135)), "Texas",ISNUMBER(SEARCH("Mar Allerg:", O135)), "Texas",ISNUMBER(SEARCH("Maumelle:", O135)), "Arkansas",ISNUMBER(SEARCH("MWC:", O135)), "Oklahoma",ISNUMBER(SEARCH("MWC Allgy:", O135)), "Oklahoma",ISNUMBER(SEARCH("Moore:", O135)), "Oklahoma",ISNUMBER(SEARCH("MooreAllgy:", O135)), "Oklahoma",ISNUMBER(SEARCH("MtPleasant:", O135)), "Texas",ISNUMBER(SEARCH("OccOffsite:", O135)), "Texas",ISNUMBER(SEARCH("Pain Mgmt:", O135)), "Texas",ISNUMBER(SEARCH("Paris:", O135)), "Texas",ISNUMBER(SEARCH("PT:", O135)), "Texas",ISNUMBER(SEARCH("RR Allergy:", O135)), "Texas",ISNUMBER(SEARCH("Sherwood:", O135)), "Arkansas",ISNUMBER(SEARCH("WV:", O135)), "Texas",ISNUMBER(SEARCH("Nur-Home:", O135)), "Texas",ISNUMBER(SEARCH("THC:", O135)), "Texas",ISNUMBER(SEARCH("WVTC:", O135)), "Texas",ISNUMBER(SEARCH("TSC:", O135)), "Texas",ISNUMBER(SEARCH("V-AR Blvd:", O135)), "Arkansas",ISNUMBER(SEARCH("V-Maumelle:", O135)), "Arkansas",ISNUMBER(SEARCH("V-Atlanta:", O135)), "Texas",ISNUMBER(SEARCH("VBlanchard:", O135)), "Louisiana",ISNUMBER(SEARCH("V-Bryant:", O135)), "Arkansas",ISNUMBER(SEARCH("V-Choctaw:", O135)), "Oklahoma",ISNUMBER(SEARCH("V-DeQueen:", O135)), "Arkansas",ISNUMBER(SEARCH("V-Longview:", O135)), "Texas",ISNUMBER(SEARCH("V-Marshall:", O135)), "Texas",ISNUMBER(SEARCH("V-MWC:", O135)), "Oklahoma",ISNUMBER(SEARCH("V-Moore:", O135)), "Oklahoma",ISNUMBER(SEARCH("V-MP:", O135)), "Texas",ISNUMBER(SEARCH("V-Edmond:", O135)), "Oklahoma",ISNUMBER(SEARCH("V-Paris:", O135)), "Texas",ISNUMBER(SEARCH("V-RR:", O135)), "Texas",ISNUMBER(SEARCH("V-Sherwood:", O135)), "Arkansas",ISNUMBER(SEARCH("V-WV:", O135)), "Texas",ISNUMBER(SEARCH("HealthCARE Express - Richmond Road", O135)), "Texas",ISNUMBER(SEARCH("HealthCARE Express - Occupational Medicine", O135)), "Texas")</f>
        <v>Arkansas</v>
      </c>
      <c r="Q135" t="s">
        <v>841</v>
      </c>
      <c r="R135" t="s">
        <v>879</v>
      </c>
      <c r="S135" t="s">
        <v>96</v>
      </c>
      <c r="T135" t="s">
        <v>848</v>
      </c>
      <c r="U135" t="s">
        <v>880</v>
      </c>
      <c r="V135" t="s">
        <v>873</v>
      </c>
      <c r="AF135" t="str" cm="1">
        <f t="array" ref="AF135">IF(SUMPRODUCT(--ISNUMBER(SEARCH("992",T135:AE135)))&gt;0, "E&amp;M", "No E&amp;M")</f>
        <v>E&amp;M</v>
      </c>
      <c r="AG135" t="str">
        <f t="shared" si="11"/>
        <v>99214</v>
      </c>
      <c r="AH135" t="str">
        <f t="shared" si="12"/>
        <v>Estd. Patient</v>
      </c>
      <c r="AI135" t="str">
        <f t="shared" si="10"/>
        <v>Little Rock Region</v>
      </c>
    </row>
    <row r="136" spans="1:35" x14ac:dyDescent="0.3">
      <c r="A136" t="s">
        <v>778</v>
      </c>
      <c r="B136" t="s">
        <v>357</v>
      </c>
      <c r="C136" t="s">
        <v>109</v>
      </c>
      <c r="D136" t="s">
        <v>779</v>
      </c>
      <c r="E136" t="s">
        <v>335</v>
      </c>
      <c r="F136" t="s">
        <v>19</v>
      </c>
      <c r="G136" t="s">
        <v>46</v>
      </c>
      <c r="H136" t="s">
        <v>207</v>
      </c>
      <c r="I136" t="s">
        <v>22</v>
      </c>
      <c r="J136" t="s">
        <v>22</v>
      </c>
      <c r="K136" t="s">
        <v>780</v>
      </c>
      <c r="L136" t="s">
        <v>781</v>
      </c>
      <c r="M136" t="s">
        <v>113</v>
      </c>
      <c r="N136" t="s">
        <v>779</v>
      </c>
      <c r="O136" t="s">
        <v>878</v>
      </c>
      <c r="P136" t="str" cm="1">
        <f t="array" ref="P136">_xlfn.IFS(ISNUMBER(SEARCH("AEIC:", O136)), "Arkansas",ISNUMBER(SEARCH("STM:", O136)), "Texas",ISNUMBER(SEARCH("BILLING:", O136)), "Texas",ISNUMBER(SEARCH("AM:", O136)), "Texas",ISNUMBER(SEARCH("ARBlvd:", O136)), "Arkansas",ISNUMBER(SEARCH("Atlanta:", O136)), "Texas",ISNUMBER(SEARCH("Blanchard:", O136)), "Louisiana",ISNUMBER(SEARCH("Bryant:", O136)), "Arkansas",ISNUMBER(SEARCH("Choctaw:", O136)), "Oklahoma",ISNUMBER(SEARCH("Choc Allgy:", O136)), "Oklahoma",ISNUMBER(SEARCH("DeQueen:", O136)), "Arkansas",ISNUMBER(SEARCH("Edmond:", O136)), "Oklahoma",ISNUMBER(SEARCH("Edmd Aller:", O136)), "Oklahoma",ISNUMBER(SEARCH("Imaging:", O136)), "Texas",ISNUMBER(SEARCH("Longview:", O136)), "Texas",ISNUMBER(SEARCH("Marshall:", O136)), "Texas",ISNUMBER(SEARCH("Mar Allerg:", O136)), "Texas",ISNUMBER(SEARCH("Maumelle:", O136)), "Arkansas",ISNUMBER(SEARCH("MWC:", O136)), "Oklahoma",ISNUMBER(SEARCH("MWC Allgy:", O136)), "Oklahoma",ISNUMBER(SEARCH("Moore:", O136)), "Oklahoma",ISNUMBER(SEARCH("MooreAllgy:", O136)), "Oklahoma",ISNUMBER(SEARCH("MtPleasant:", O136)), "Texas",ISNUMBER(SEARCH("OccOffsite:", O136)), "Texas",ISNUMBER(SEARCH("Pain Mgmt:", O136)), "Texas",ISNUMBER(SEARCH("Paris:", O136)), "Texas",ISNUMBER(SEARCH("PT:", O136)), "Texas",ISNUMBER(SEARCH("RR Allergy:", O136)), "Texas",ISNUMBER(SEARCH("Sherwood:", O136)), "Arkansas",ISNUMBER(SEARCH("WV:", O136)), "Texas",ISNUMBER(SEARCH("Nur-Home:", O136)), "Texas",ISNUMBER(SEARCH("THC:", O136)), "Texas",ISNUMBER(SEARCH("WVTC:", O136)), "Texas",ISNUMBER(SEARCH("TSC:", O136)), "Texas",ISNUMBER(SEARCH("V-AR Blvd:", O136)), "Arkansas",ISNUMBER(SEARCH("V-Maumelle:", O136)), "Arkansas",ISNUMBER(SEARCH("V-Atlanta:", O136)), "Texas",ISNUMBER(SEARCH("VBlanchard:", O136)), "Louisiana",ISNUMBER(SEARCH("V-Bryant:", O136)), "Arkansas",ISNUMBER(SEARCH("V-Choctaw:", O136)), "Oklahoma",ISNUMBER(SEARCH("V-DeQueen:", O136)), "Arkansas",ISNUMBER(SEARCH("V-Longview:", O136)), "Texas",ISNUMBER(SEARCH("V-Marshall:", O136)), "Texas",ISNUMBER(SEARCH("V-MWC:", O136)), "Oklahoma",ISNUMBER(SEARCH("V-Moore:", O136)), "Oklahoma",ISNUMBER(SEARCH("V-MP:", O136)), "Texas",ISNUMBER(SEARCH("V-Edmond:", O136)), "Oklahoma",ISNUMBER(SEARCH("V-Paris:", O136)), "Texas",ISNUMBER(SEARCH("V-RR:", O136)), "Texas",ISNUMBER(SEARCH("V-Sherwood:", O136)), "Arkansas",ISNUMBER(SEARCH("V-WV:", O136)), "Texas",ISNUMBER(SEARCH("HealthCARE Express - Richmond Road", O136)), "Texas",ISNUMBER(SEARCH("HealthCARE Express - Occupational Medicine", O136)), "Texas")</f>
        <v>Arkansas</v>
      </c>
      <c r="Q136" t="s">
        <v>841</v>
      </c>
      <c r="R136" t="s">
        <v>882</v>
      </c>
      <c r="S136" t="s">
        <v>335</v>
      </c>
      <c r="T136" t="s">
        <v>857</v>
      </c>
      <c r="AF136" t="str" cm="1">
        <f t="array" ref="AF136">IF(SUMPRODUCT(--ISNUMBER(SEARCH("992",T136:AE136)))&gt;0, "E&amp;M", "No E&amp;M")</f>
        <v>E&amp;M</v>
      </c>
      <c r="AG136" t="str">
        <f t="shared" si="11"/>
        <v>99204</v>
      </c>
      <c r="AH136" t="str">
        <f t="shared" si="12"/>
        <v>New Patient</v>
      </c>
      <c r="AI136" t="str">
        <f t="shared" si="10"/>
        <v>Little Rock Region</v>
      </c>
    </row>
    <row r="137" spans="1:35" x14ac:dyDescent="0.3">
      <c r="A137" t="s">
        <v>782</v>
      </c>
      <c r="B137" t="s">
        <v>357</v>
      </c>
      <c r="C137" t="s">
        <v>240</v>
      </c>
      <c r="D137" t="s">
        <v>783</v>
      </c>
      <c r="E137" t="s">
        <v>772</v>
      </c>
      <c r="F137" t="s">
        <v>19</v>
      </c>
      <c r="G137" t="s">
        <v>440</v>
      </c>
      <c r="H137" t="s">
        <v>22</v>
      </c>
      <c r="I137" t="s">
        <v>22</v>
      </c>
      <c r="J137" t="s">
        <v>22</v>
      </c>
      <c r="K137" t="s">
        <v>440</v>
      </c>
      <c r="L137" t="s">
        <v>784</v>
      </c>
      <c r="M137" t="s">
        <v>244</v>
      </c>
      <c r="N137" t="s">
        <v>785</v>
      </c>
      <c r="O137" t="s">
        <v>890</v>
      </c>
      <c r="P137" t="str" cm="1">
        <f t="array" ref="P137">_xlfn.IFS(ISNUMBER(SEARCH("AEIC:", O137)), "Arkansas",ISNUMBER(SEARCH("STM:", O137)), "Texas",ISNUMBER(SEARCH("BILLING:", O137)), "Texas",ISNUMBER(SEARCH("AM:", O137)), "Texas",ISNUMBER(SEARCH("ARBlvd:", O137)), "Arkansas",ISNUMBER(SEARCH("Atlanta:", O137)), "Texas",ISNUMBER(SEARCH("Blanchard:", O137)), "Louisiana",ISNUMBER(SEARCH("Bryant:", O137)), "Arkansas",ISNUMBER(SEARCH("Choctaw:", O137)), "Oklahoma",ISNUMBER(SEARCH("Choc Allgy:", O137)), "Oklahoma",ISNUMBER(SEARCH("DeQueen:", O137)), "Arkansas",ISNUMBER(SEARCH("Edmond:", O137)), "Oklahoma",ISNUMBER(SEARCH("Edmd Aller:", O137)), "Oklahoma",ISNUMBER(SEARCH("Imaging:", O137)), "Texas",ISNUMBER(SEARCH("Longview:", O137)), "Texas",ISNUMBER(SEARCH("Marshall:", O137)), "Texas",ISNUMBER(SEARCH("Mar Allerg:", O137)), "Texas",ISNUMBER(SEARCH("Maumelle:", O137)), "Arkansas",ISNUMBER(SEARCH("MWC:", O137)), "Oklahoma",ISNUMBER(SEARCH("MWC Allgy:", O137)), "Oklahoma",ISNUMBER(SEARCH("Moore:", O137)), "Oklahoma",ISNUMBER(SEARCH("MooreAllgy:", O137)), "Oklahoma",ISNUMBER(SEARCH("MtPleasant:", O137)), "Texas",ISNUMBER(SEARCH("OccOffsite:", O137)), "Texas",ISNUMBER(SEARCH("Pain Mgmt:", O137)), "Texas",ISNUMBER(SEARCH("Paris:", O137)), "Texas",ISNUMBER(SEARCH("PT:", O137)), "Texas",ISNUMBER(SEARCH("RR Allergy:", O137)), "Texas",ISNUMBER(SEARCH("Sherwood:", O137)), "Arkansas",ISNUMBER(SEARCH("WV:", O137)), "Texas",ISNUMBER(SEARCH("Nur-Home:", O137)), "Texas",ISNUMBER(SEARCH("THC:", O137)), "Texas",ISNUMBER(SEARCH("WVTC:", O137)), "Texas",ISNUMBER(SEARCH("TSC:", O137)), "Texas",ISNUMBER(SEARCH("V-AR Blvd:", O137)), "Arkansas",ISNUMBER(SEARCH("V-Maumelle:", O137)), "Arkansas",ISNUMBER(SEARCH("V-Atlanta:", O137)), "Texas",ISNUMBER(SEARCH("VBlanchard:", O137)), "Louisiana",ISNUMBER(SEARCH("V-Bryant:", O137)), "Arkansas",ISNUMBER(SEARCH("V-Choctaw:", O137)), "Oklahoma",ISNUMBER(SEARCH("V-DeQueen:", O137)), "Arkansas",ISNUMBER(SEARCH("V-Longview:", O137)), "Texas",ISNUMBER(SEARCH("V-Marshall:", O137)), "Texas",ISNUMBER(SEARCH("V-MWC:", O137)), "Oklahoma",ISNUMBER(SEARCH("V-Moore:", O137)), "Oklahoma",ISNUMBER(SEARCH("V-MP:", O137)), "Texas",ISNUMBER(SEARCH("V-Edmond:", O137)), "Oklahoma",ISNUMBER(SEARCH("V-Paris:", O137)), "Texas",ISNUMBER(SEARCH("V-RR:", O137)), "Texas",ISNUMBER(SEARCH("V-Sherwood:", O137)), "Arkansas",ISNUMBER(SEARCH("V-WV:", O137)), "Texas",ISNUMBER(SEARCH("HealthCARE Express - Richmond Road", O137)), "Texas",ISNUMBER(SEARCH("HealthCARE Express - Occupational Medicine", O137)), "Texas")</f>
        <v>Arkansas</v>
      </c>
      <c r="Q137" t="s">
        <v>841</v>
      </c>
      <c r="R137" t="s">
        <v>938</v>
      </c>
      <c r="S137" t="s">
        <v>772</v>
      </c>
      <c r="T137" t="s">
        <v>848</v>
      </c>
      <c r="AF137" t="str" cm="1">
        <f t="array" ref="AF137">IF(SUMPRODUCT(--ISNUMBER(SEARCH("992",T137:AE137)))&gt;0, "E&amp;M", "No E&amp;M")</f>
        <v>E&amp;M</v>
      </c>
      <c r="AG137" t="str">
        <f t="shared" si="11"/>
        <v>99214</v>
      </c>
      <c r="AH137" t="str">
        <f t="shared" si="12"/>
        <v>Estd. Patient</v>
      </c>
      <c r="AI137" t="str">
        <f t="shared" si="10"/>
        <v>-</v>
      </c>
    </row>
    <row r="138" spans="1:35" x14ac:dyDescent="0.3">
      <c r="A138" t="s">
        <v>786</v>
      </c>
      <c r="B138" t="s">
        <v>357</v>
      </c>
      <c r="C138" t="s">
        <v>386</v>
      </c>
      <c r="D138" t="s">
        <v>787</v>
      </c>
      <c r="E138" t="s">
        <v>96</v>
      </c>
      <c r="F138" t="s">
        <v>19</v>
      </c>
      <c r="G138" t="s">
        <v>788</v>
      </c>
      <c r="H138" t="s">
        <v>117</v>
      </c>
      <c r="I138" t="s">
        <v>22</v>
      </c>
      <c r="J138" t="s">
        <v>22</v>
      </c>
      <c r="K138" t="s">
        <v>789</v>
      </c>
      <c r="L138" t="s">
        <v>790</v>
      </c>
      <c r="M138" t="s">
        <v>392</v>
      </c>
      <c r="N138" t="s">
        <v>787</v>
      </c>
      <c r="O138" t="s">
        <v>874</v>
      </c>
      <c r="P138" t="str" cm="1">
        <f t="array" ref="P138">_xlfn.IFS(ISNUMBER(SEARCH("AEIC:", O138)), "Arkansas",ISNUMBER(SEARCH("STM:", O138)), "Texas",ISNUMBER(SEARCH("BILLING:", O138)), "Texas",ISNUMBER(SEARCH("AM:", O138)), "Texas",ISNUMBER(SEARCH("ARBlvd:", O138)), "Arkansas",ISNUMBER(SEARCH("Atlanta:", O138)), "Texas",ISNUMBER(SEARCH("Blanchard:", O138)), "Louisiana",ISNUMBER(SEARCH("Bryant:", O138)), "Arkansas",ISNUMBER(SEARCH("Choctaw:", O138)), "Oklahoma",ISNUMBER(SEARCH("Choc Allgy:", O138)), "Oklahoma",ISNUMBER(SEARCH("DeQueen:", O138)), "Arkansas",ISNUMBER(SEARCH("Edmond:", O138)), "Oklahoma",ISNUMBER(SEARCH("Edmd Aller:", O138)), "Oklahoma",ISNUMBER(SEARCH("Imaging:", O138)), "Texas",ISNUMBER(SEARCH("Longview:", O138)), "Texas",ISNUMBER(SEARCH("Marshall:", O138)), "Texas",ISNUMBER(SEARCH("Mar Allerg:", O138)), "Texas",ISNUMBER(SEARCH("Maumelle:", O138)), "Arkansas",ISNUMBER(SEARCH("MWC:", O138)), "Oklahoma",ISNUMBER(SEARCH("MWC Allgy:", O138)), "Oklahoma",ISNUMBER(SEARCH("Moore:", O138)), "Oklahoma",ISNUMBER(SEARCH("MooreAllgy:", O138)), "Oklahoma",ISNUMBER(SEARCH("MtPleasant:", O138)), "Texas",ISNUMBER(SEARCH("OccOffsite:", O138)), "Texas",ISNUMBER(SEARCH("Pain Mgmt:", O138)), "Texas",ISNUMBER(SEARCH("Paris:", O138)), "Texas",ISNUMBER(SEARCH("PT:", O138)), "Texas",ISNUMBER(SEARCH("RR Allergy:", O138)), "Texas",ISNUMBER(SEARCH("Sherwood:", O138)), "Arkansas",ISNUMBER(SEARCH("WV:", O138)), "Texas",ISNUMBER(SEARCH("Nur-Home:", O138)), "Texas",ISNUMBER(SEARCH("THC:", O138)), "Texas",ISNUMBER(SEARCH("WVTC:", O138)), "Texas",ISNUMBER(SEARCH("TSC:", O138)), "Texas",ISNUMBER(SEARCH("V-AR Blvd:", O138)), "Arkansas",ISNUMBER(SEARCH("V-Maumelle:", O138)), "Arkansas",ISNUMBER(SEARCH("V-Atlanta:", O138)), "Texas",ISNUMBER(SEARCH("VBlanchard:", O138)), "Louisiana",ISNUMBER(SEARCH("V-Bryant:", O138)), "Arkansas",ISNUMBER(SEARCH("V-Choctaw:", O138)), "Oklahoma",ISNUMBER(SEARCH("V-DeQueen:", O138)), "Arkansas",ISNUMBER(SEARCH("V-Longview:", O138)), "Texas",ISNUMBER(SEARCH("V-Marshall:", O138)), "Texas",ISNUMBER(SEARCH("V-MWC:", O138)), "Oklahoma",ISNUMBER(SEARCH("V-Moore:", O138)), "Oklahoma",ISNUMBER(SEARCH("V-MP:", O138)), "Texas",ISNUMBER(SEARCH("V-Edmond:", O138)), "Oklahoma",ISNUMBER(SEARCH("V-Paris:", O138)), "Texas",ISNUMBER(SEARCH("V-RR:", O138)), "Texas",ISNUMBER(SEARCH("V-Sherwood:", O138)), "Arkansas",ISNUMBER(SEARCH("V-WV:", O138)), "Texas",ISNUMBER(SEARCH("HealthCARE Express - Richmond Road", O138)), "Texas",ISNUMBER(SEARCH("HealthCARE Express - Occupational Medicine", O138)), "Texas")</f>
        <v>Arkansas</v>
      </c>
      <c r="Q138" t="s">
        <v>841</v>
      </c>
      <c r="R138" t="s">
        <v>879</v>
      </c>
      <c r="S138" t="s">
        <v>96</v>
      </c>
      <c r="T138" t="s">
        <v>893</v>
      </c>
      <c r="U138" t="s">
        <v>865</v>
      </c>
      <c r="V138" t="s">
        <v>920</v>
      </c>
      <c r="W138" t="s">
        <v>935</v>
      </c>
      <c r="X138" t="s">
        <v>867</v>
      </c>
      <c r="AF138" t="str" cm="1">
        <f t="array" ref="AF138">IF(SUMPRODUCT(--ISNUMBER(SEARCH("992",T138:AE138)))&gt;0, "E&amp;M", "No E&amp;M")</f>
        <v>E&amp;M</v>
      </c>
      <c r="AG138" t="str">
        <f t="shared" si="11"/>
        <v>99203</v>
      </c>
      <c r="AH138" t="str">
        <f t="shared" si="12"/>
        <v>New Patient</v>
      </c>
      <c r="AI138" t="str">
        <f t="shared" si="10"/>
        <v>Little Rock Region</v>
      </c>
    </row>
    <row r="139" spans="1:35" x14ac:dyDescent="0.3">
      <c r="A139" t="s">
        <v>791</v>
      </c>
      <c r="B139" t="s">
        <v>357</v>
      </c>
      <c r="C139" t="s">
        <v>386</v>
      </c>
      <c r="D139" t="s">
        <v>792</v>
      </c>
      <c r="E139" t="s">
        <v>399</v>
      </c>
      <c r="F139" t="s">
        <v>19</v>
      </c>
      <c r="G139" t="s">
        <v>793</v>
      </c>
      <c r="H139" t="s">
        <v>79</v>
      </c>
      <c r="I139" t="s">
        <v>22</v>
      </c>
      <c r="J139" t="s">
        <v>22</v>
      </c>
      <c r="K139" t="s">
        <v>794</v>
      </c>
      <c r="L139" t="s">
        <v>795</v>
      </c>
      <c r="M139" t="s">
        <v>392</v>
      </c>
      <c r="N139" t="s">
        <v>796</v>
      </c>
      <c r="O139" t="s">
        <v>874</v>
      </c>
      <c r="P139" t="str" cm="1">
        <f t="array" ref="P139">_xlfn.IFS(ISNUMBER(SEARCH("AEIC:", O139)), "Arkansas",ISNUMBER(SEARCH("STM:", O139)), "Texas",ISNUMBER(SEARCH("BILLING:", O139)), "Texas",ISNUMBER(SEARCH("AM:", O139)), "Texas",ISNUMBER(SEARCH("ARBlvd:", O139)), "Arkansas",ISNUMBER(SEARCH("Atlanta:", O139)), "Texas",ISNUMBER(SEARCH("Blanchard:", O139)), "Louisiana",ISNUMBER(SEARCH("Bryant:", O139)), "Arkansas",ISNUMBER(SEARCH("Choctaw:", O139)), "Oklahoma",ISNUMBER(SEARCH("Choc Allgy:", O139)), "Oklahoma",ISNUMBER(SEARCH("DeQueen:", O139)), "Arkansas",ISNUMBER(SEARCH("Edmond:", O139)), "Oklahoma",ISNUMBER(SEARCH("Edmd Aller:", O139)), "Oklahoma",ISNUMBER(SEARCH("Imaging:", O139)), "Texas",ISNUMBER(SEARCH("Longview:", O139)), "Texas",ISNUMBER(SEARCH("Marshall:", O139)), "Texas",ISNUMBER(SEARCH("Mar Allerg:", O139)), "Texas",ISNUMBER(SEARCH("Maumelle:", O139)), "Arkansas",ISNUMBER(SEARCH("MWC:", O139)), "Oklahoma",ISNUMBER(SEARCH("MWC Allgy:", O139)), "Oklahoma",ISNUMBER(SEARCH("Moore:", O139)), "Oklahoma",ISNUMBER(SEARCH("MooreAllgy:", O139)), "Oklahoma",ISNUMBER(SEARCH("MtPleasant:", O139)), "Texas",ISNUMBER(SEARCH("OccOffsite:", O139)), "Texas",ISNUMBER(SEARCH("Pain Mgmt:", O139)), "Texas",ISNUMBER(SEARCH("Paris:", O139)), "Texas",ISNUMBER(SEARCH("PT:", O139)), "Texas",ISNUMBER(SEARCH("RR Allergy:", O139)), "Texas",ISNUMBER(SEARCH("Sherwood:", O139)), "Arkansas",ISNUMBER(SEARCH("WV:", O139)), "Texas",ISNUMBER(SEARCH("Nur-Home:", O139)), "Texas",ISNUMBER(SEARCH("THC:", O139)), "Texas",ISNUMBER(SEARCH("WVTC:", O139)), "Texas",ISNUMBER(SEARCH("TSC:", O139)), "Texas",ISNUMBER(SEARCH("V-AR Blvd:", O139)), "Arkansas",ISNUMBER(SEARCH("V-Maumelle:", O139)), "Arkansas",ISNUMBER(SEARCH("V-Atlanta:", O139)), "Texas",ISNUMBER(SEARCH("VBlanchard:", O139)), "Louisiana",ISNUMBER(SEARCH("V-Bryant:", O139)), "Arkansas",ISNUMBER(SEARCH("V-Choctaw:", O139)), "Oklahoma",ISNUMBER(SEARCH("V-DeQueen:", O139)), "Arkansas",ISNUMBER(SEARCH("V-Longview:", O139)), "Texas",ISNUMBER(SEARCH("V-Marshall:", O139)), "Texas",ISNUMBER(SEARCH("V-MWC:", O139)), "Oklahoma",ISNUMBER(SEARCH("V-Moore:", O139)), "Oklahoma",ISNUMBER(SEARCH("V-MP:", O139)), "Texas",ISNUMBER(SEARCH("V-Edmond:", O139)), "Oklahoma",ISNUMBER(SEARCH("V-Paris:", O139)), "Texas",ISNUMBER(SEARCH("V-RR:", O139)), "Texas",ISNUMBER(SEARCH("V-Sherwood:", O139)), "Arkansas",ISNUMBER(SEARCH("V-WV:", O139)), "Texas",ISNUMBER(SEARCH("HealthCARE Express - Richmond Road", O139)), "Texas",ISNUMBER(SEARCH("HealthCARE Express - Occupational Medicine", O139)), "Texas")</f>
        <v>Arkansas</v>
      </c>
      <c r="Q139" t="s">
        <v>841</v>
      </c>
      <c r="R139" t="s">
        <v>532</v>
      </c>
      <c r="S139" t="s">
        <v>399</v>
      </c>
      <c r="T139" t="s">
        <v>857</v>
      </c>
      <c r="U139" t="s">
        <v>934</v>
      </c>
      <c r="V139" t="s">
        <v>873</v>
      </c>
      <c r="W139" t="s">
        <v>844</v>
      </c>
      <c r="X139" t="s">
        <v>870</v>
      </c>
      <c r="AF139" t="str" cm="1">
        <f t="array" ref="AF139">IF(SUMPRODUCT(--ISNUMBER(SEARCH("992",T139:AE139)))&gt;0, "E&amp;M", "No E&amp;M")</f>
        <v>E&amp;M</v>
      </c>
      <c r="AG139" t="str">
        <f t="shared" si="11"/>
        <v>99204</v>
      </c>
      <c r="AH139" t="str">
        <f t="shared" si="12"/>
        <v>New Patient</v>
      </c>
      <c r="AI139" t="str">
        <f t="shared" si="10"/>
        <v>Little Rock Region</v>
      </c>
    </row>
    <row r="140" spans="1:35" x14ac:dyDescent="0.3">
      <c r="A140" t="s">
        <v>797</v>
      </c>
      <c r="B140" t="s">
        <v>357</v>
      </c>
      <c r="C140" t="s">
        <v>798</v>
      </c>
      <c r="D140" t="s">
        <v>799</v>
      </c>
      <c r="E140" t="s">
        <v>800</v>
      </c>
      <c r="F140" t="s">
        <v>19</v>
      </c>
      <c r="G140" t="s">
        <v>801</v>
      </c>
      <c r="H140" t="s">
        <v>22</v>
      </c>
      <c r="I140" t="s">
        <v>22</v>
      </c>
      <c r="J140" t="s">
        <v>22</v>
      </c>
      <c r="K140" t="s">
        <v>801</v>
      </c>
      <c r="L140" t="s">
        <v>802</v>
      </c>
      <c r="M140" t="s">
        <v>803</v>
      </c>
      <c r="N140" t="s">
        <v>804</v>
      </c>
      <c r="O140" t="s">
        <v>931</v>
      </c>
      <c r="P140" t="str" cm="1">
        <f t="array" ref="P140">_xlfn.IFS(ISNUMBER(SEARCH("AEIC:", O140)), "Arkansas",ISNUMBER(SEARCH("STM:", O140)), "Texas",ISNUMBER(SEARCH("BILLING:", O140)), "Texas",ISNUMBER(SEARCH("AM:", O140)), "Texas",ISNUMBER(SEARCH("ARBlvd:", O140)), "Arkansas",ISNUMBER(SEARCH("Atlanta:", O140)), "Texas",ISNUMBER(SEARCH("Blanchard:", O140)), "Louisiana",ISNUMBER(SEARCH("Bryant:", O140)), "Arkansas",ISNUMBER(SEARCH("Choctaw:", O140)), "Oklahoma",ISNUMBER(SEARCH("Choc Allgy:", O140)), "Oklahoma",ISNUMBER(SEARCH("DeQueen:", O140)), "Arkansas",ISNUMBER(SEARCH("Edmond:", O140)), "Oklahoma",ISNUMBER(SEARCH("Edmd Aller:", O140)), "Oklahoma",ISNUMBER(SEARCH("Imaging:", O140)), "Texas",ISNUMBER(SEARCH("Longview:", O140)), "Texas",ISNUMBER(SEARCH("Marshall:", O140)), "Texas",ISNUMBER(SEARCH("Mar Allerg:", O140)), "Texas",ISNUMBER(SEARCH("Maumelle:", O140)), "Arkansas",ISNUMBER(SEARCH("MWC:", O140)), "Oklahoma",ISNUMBER(SEARCH("MWC Allgy:", O140)), "Oklahoma",ISNUMBER(SEARCH("Moore:", O140)), "Oklahoma",ISNUMBER(SEARCH("MooreAllgy:", O140)), "Oklahoma",ISNUMBER(SEARCH("MtPleasant:", O140)), "Texas",ISNUMBER(SEARCH("OccOffsite:", O140)), "Texas",ISNUMBER(SEARCH("Pain Mgmt:", O140)), "Texas",ISNUMBER(SEARCH("Paris:", O140)), "Texas",ISNUMBER(SEARCH("PT:", O140)), "Texas",ISNUMBER(SEARCH("RR Allergy:", O140)), "Texas",ISNUMBER(SEARCH("Sherwood:", O140)), "Arkansas",ISNUMBER(SEARCH("WV:", O140)), "Texas",ISNUMBER(SEARCH("Nur-Home:", O140)), "Texas",ISNUMBER(SEARCH("THC:", O140)), "Texas",ISNUMBER(SEARCH("WVTC:", O140)), "Texas",ISNUMBER(SEARCH("TSC:", O140)), "Texas",ISNUMBER(SEARCH("V-AR Blvd:", O140)), "Arkansas",ISNUMBER(SEARCH("V-Maumelle:", O140)), "Arkansas",ISNUMBER(SEARCH("V-Atlanta:", O140)), "Texas",ISNUMBER(SEARCH("VBlanchard:", O140)), "Louisiana",ISNUMBER(SEARCH("V-Bryant:", O140)), "Arkansas",ISNUMBER(SEARCH("V-Choctaw:", O140)), "Oklahoma",ISNUMBER(SEARCH("V-DeQueen:", O140)), "Arkansas",ISNUMBER(SEARCH("V-Longview:", O140)), "Texas",ISNUMBER(SEARCH("V-Marshall:", O140)), "Texas",ISNUMBER(SEARCH("V-MWC:", O140)), "Oklahoma",ISNUMBER(SEARCH("V-Moore:", O140)), "Oklahoma",ISNUMBER(SEARCH("V-MP:", O140)), "Texas",ISNUMBER(SEARCH("V-Edmond:", O140)), "Oklahoma",ISNUMBER(SEARCH("V-Paris:", O140)), "Texas",ISNUMBER(SEARCH("V-RR:", O140)), "Texas",ISNUMBER(SEARCH("V-Sherwood:", O140)), "Arkansas",ISNUMBER(SEARCH("V-WV:", O140)), "Texas",ISNUMBER(SEARCH("HealthCARE Express - Richmond Road", O140)), "Texas",ISNUMBER(SEARCH("HealthCARE Express - Occupational Medicine", O140)), "Texas")</f>
        <v>Oklahoma</v>
      </c>
      <c r="Q140" t="s">
        <v>841</v>
      </c>
      <c r="R140" t="s">
        <v>940</v>
      </c>
      <c r="S140" t="s">
        <v>939</v>
      </c>
      <c r="T140" t="s">
        <v>857</v>
      </c>
      <c r="U140" t="s">
        <v>887</v>
      </c>
      <c r="V140" t="s">
        <v>873</v>
      </c>
      <c r="W140" t="s">
        <v>888</v>
      </c>
      <c r="X140" t="s">
        <v>888</v>
      </c>
      <c r="AF140" t="str" cm="1">
        <f t="array" ref="AF140">IF(SUMPRODUCT(--ISNUMBER(SEARCH("992",T140:AE140)))&gt;0, "E&amp;M", "No E&amp;M")</f>
        <v>E&amp;M</v>
      </c>
      <c r="AG140" t="str">
        <f t="shared" si="11"/>
        <v>99204</v>
      </c>
      <c r="AH140" t="str">
        <f t="shared" si="12"/>
        <v>New Patient</v>
      </c>
      <c r="AI140" t="str">
        <f t="shared" si="10"/>
        <v>Oklahoma</v>
      </c>
    </row>
    <row r="141" spans="1:35" x14ac:dyDescent="0.3">
      <c r="A141" t="s">
        <v>805</v>
      </c>
      <c r="B141" t="s">
        <v>357</v>
      </c>
      <c r="C141" t="s">
        <v>28</v>
      </c>
      <c r="D141" t="s">
        <v>806</v>
      </c>
      <c r="E141" t="s">
        <v>39</v>
      </c>
      <c r="F141" t="s">
        <v>19</v>
      </c>
      <c r="G141" t="s">
        <v>807</v>
      </c>
      <c r="H141" t="s">
        <v>482</v>
      </c>
      <c r="I141" t="s">
        <v>22</v>
      </c>
      <c r="J141" t="s">
        <v>22</v>
      </c>
      <c r="K141" t="s">
        <v>808</v>
      </c>
      <c r="L141" t="s">
        <v>809</v>
      </c>
      <c r="M141" t="s">
        <v>33</v>
      </c>
      <c r="N141" t="s">
        <v>810</v>
      </c>
      <c r="O141" t="s">
        <v>846</v>
      </c>
      <c r="P141" t="str" cm="1">
        <f t="array" ref="P141">_xlfn.IFS(ISNUMBER(SEARCH("AEIC:", O141)), "Arkansas",ISNUMBER(SEARCH("STM:", O141)), "Texas",ISNUMBER(SEARCH("BILLING:", O141)), "Texas",ISNUMBER(SEARCH("AM:", O141)), "Texas",ISNUMBER(SEARCH("ARBlvd:", O141)), "Arkansas",ISNUMBER(SEARCH("Atlanta:", O141)), "Texas",ISNUMBER(SEARCH("Blanchard:", O141)), "Louisiana",ISNUMBER(SEARCH("Bryant:", O141)), "Arkansas",ISNUMBER(SEARCH("Choctaw:", O141)), "Oklahoma",ISNUMBER(SEARCH("Choc Allgy:", O141)), "Oklahoma",ISNUMBER(SEARCH("DeQueen:", O141)), "Arkansas",ISNUMBER(SEARCH("Edmond:", O141)), "Oklahoma",ISNUMBER(SEARCH("Edmd Aller:", O141)), "Oklahoma",ISNUMBER(SEARCH("Imaging:", O141)), "Texas",ISNUMBER(SEARCH("Longview:", O141)), "Texas",ISNUMBER(SEARCH("Marshall:", O141)), "Texas",ISNUMBER(SEARCH("Mar Allerg:", O141)), "Texas",ISNUMBER(SEARCH("Maumelle:", O141)), "Arkansas",ISNUMBER(SEARCH("MWC:", O141)), "Oklahoma",ISNUMBER(SEARCH("MWC Allgy:", O141)), "Oklahoma",ISNUMBER(SEARCH("Moore:", O141)), "Oklahoma",ISNUMBER(SEARCH("MooreAllgy:", O141)), "Oklahoma",ISNUMBER(SEARCH("MtPleasant:", O141)), "Texas",ISNUMBER(SEARCH("OccOffsite:", O141)), "Texas",ISNUMBER(SEARCH("Pain Mgmt:", O141)), "Texas",ISNUMBER(SEARCH("Paris:", O141)), "Texas",ISNUMBER(SEARCH("PT:", O141)), "Texas",ISNUMBER(SEARCH("RR Allergy:", O141)), "Texas",ISNUMBER(SEARCH("Sherwood:", O141)), "Arkansas",ISNUMBER(SEARCH("WV:", O141)), "Texas",ISNUMBER(SEARCH("Nur-Home:", O141)), "Texas",ISNUMBER(SEARCH("THC:", O141)), "Texas",ISNUMBER(SEARCH("WVTC:", O141)), "Texas",ISNUMBER(SEARCH("TSC:", O141)), "Texas",ISNUMBER(SEARCH("V-AR Blvd:", O141)), "Arkansas",ISNUMBER(SEARCH("V-Maumelle:", O141)), "Arkansas",ISNUMBER(SEARCH("V-Atlanta:", O141)), "Texas",ISNUMBER(SEARCH("VBlanchard:", O141)), "Louisiana",ISNUMBER(SEARCH("V-Bryant:", O141)), "Arkansas",ISNUMBER(SEARCH("V-Choctaw:", O141)), "Oklahoma",ISNUMBER(SEARCH("V-DeQueen:", O141)), "Arkansas",ISNUMBER(SEARCH("V-Longview:", O141)), "Texas",ISNUMBER(SEARCH("V-Marshall:", O141)), "Texas",ISNUMBER(SEARCH("V-MWC:", O141)), "Oklahoma",ISNUMBER(SEARCH("V-Moore:", O141)), "Oklahoma",ISNUMBER(SEARCH("V-MP:", O141)), "Texas",ISNUMBER(SEARCH("V-Edmond:", O141)), "Oklahoma",ISNUMBER(SEARCH("V-Paris:", O141)), "Texas",ISNUMBER(SEARCH("V-RR:", O141)), "Texas",ISNUMBER(SEARCH("V-Sherwood:", O141)), "Arkansas",ISNUMBER(SEARCH("V-WV:", O141)), "Texas",ISNUMBER(SEARCH("HealthCARE Express - Richmond Road", O141)), "Texas",ISNUMBER(SEARCH("HealthCARE Express - Occupational Medicine", O141)), "Texas")</f>
        <v>Texas</v>
      </c>
      <c r="Q141" t="s">
        <v>841</v>
      </c>
      <c r="R141" t="s">
        <v>856</v>
      </c>
      <c r="S141" t="s">
        <v>39</v>
      </c>
      <c r="T141" t="s">
        <v>857</v>
      </c>
      <c r="U141" t="s">
        <v>843</v>
      </c>
      <c r="V141" t="s">
        <v>873</v>
      </c>
      <c r="W141" t="s">
        <v>852</v>
      </c>
      <c r="X141" t="s">
        <v>941</v>
      </c>
      <c r="AF141" t="str" cm="1">
        <f t="array" ref="AF141">IF(SUMPRODUCT(--ISNUMBER(SEARCH("992",T141:AE141)))&gt;0, "E&amp;M", "No E&amp;M")</f>
        <v>E&amp;M</v>
      </c>
      <c r="AG141" t="str">
        <f t="shared" si="11"/>
        <v>99204</v>
      </c>
      <c r="AH141" t="str">
        <f t="shared" si="12"/>
        <v>New Patient</v>
      </c>
      <c r="AI141" t="str">
        <f t="shared" si="10"/>
        <v>Texas/La/DQ/Ark Blvd</v>
      </c>
    </row>
    <row r="142" spans="1:35" x14ac:dyDescent="0.3">
      <c r="A142" t="s">
        <v>811</v>
      </c>
      <c r="B142" t="s">
        <v>357</v>
      </c>
      <c r="C142" t="s">
        <v>358</v>
      </c>
      <c r="D142" t="s">
        <v>812</v>
      </c>
      <c r="E142" t="s">
        <v>554</v>
      </c>
      <c r="F142" t="s">
        <v>19</v>
      </c>
      <c r="G142" t="s">
        <v>106</v>
      </c>
      <c r="H142" t="s">
        <v>813</v>
      </c>
      <c r="I142" t="s">
        <v>22</v>
      </c>
      <c r="J142" t="s">
        <v>22</v>
      </c>
      <c r="K142" t="s">
        <v>814</v>
      </c>
      <c r="L142" t="s">
        <v>815</v>
      </c>
      <c r="M142" t="s">
        <v>363</v>
      </c>
      <c r="N142" t="s">
        <v>816</v>
      </c>
      <c r="O142" t="s">
        <v>883</v>
      </c>
      <c r="P142" t="str" cm="1">
        <f t="array" ref="P142">_xlfn.IFS(ISNUMBER(SEARCH("AEIC:", O142)), "Arkansas",ISNUMBER(SEARCH("STM:", O142)), "Texas",ISNUMBER(SEARCH("BILLING:", O142)), "Texas",ISNUMBER(SEARCH("AM:", O142)), "Texas",ISNUMBER(SEARCH("ARBlvd:", O142)), "Arkansas",ISNUMBER(SEARCH("Atlanta:", O142)), "Texas",ISNUMBER(SEARCH("Blanchard:", O142)), "Louisiana",ISNUMBER(SEARCH("Bryant:", O142)), "Arkansas",ISNUMBER(SEARCH("Choctaw:", O142)), "Oklahoma",ISNUMBER(SEARCH("Choc Allgy:", O142)), "Oklahoma",ISNUMBER(SEARCH("DeQueen:", O142)), "Arkansas",ISNUMBER(SEARCH("Edmond:", O142)), "Oklahoma",ISNUMBER(SEARCH("Edmd Aller:", O142)), "Oklahoma",ISNUMBER(SEARCH("Imaging:", O142)), "Texas",ISNUMBER(SEARCH("Longview:", O142)), "Texas",ISNUMBER(SEARCH("Marshall:", O142)), "Texas",ISNUMBER(SEARCH("Mar Allerg:", O142)), "Texas",ISNUMBER(SEARCH("Maumelle:", O142)), "Arkansas",ISNUMBER(SEARCH("MWC:", O142)), "Oklahoma",ISNUMBER(SEARCH("MWC Allgy:", O142)), "Oklahoma",ISNUMBER(SEARCH("Moore:", O142)), "Oklahoma",ISNUMBER(SEARCH("MooreAllgy:", O142)), "Oklahoma",ISNUMBER(SEARCH("MtPleasant:", O142)), "Texas",ISNUMBER(SEARCH("OccOffsite:", O142)), "Texas",ISNUMBER(SEARCH("Pain Mgmt:", O142)), "Texas",ISNUMBER(SEARCH("Paris:", O142)), "Texas",ISNUMBER(SEARCH("PT:", O142)), "Texas",ISNUMBER(SEARCH("RR Allergy:", O142)), "Texas",ISNUMBER(SEARCH("Sherwood:", O142)), "Arkansas",ISNUMBER(SEARCH("WV:", O142)), "Texas",ISNUMBER(SEARCH("Nur-Home:", O142)), "Texas",ISNUMBER(SEARCH("THC:", O142)), "Texas",ISNUMBER(SEARCH("WVTC:", O142)), "Texas",ISNUMBER(SEARCH("TSC:", O142)), "Texas",ISNUMBER(SEARCH("V-AR Blvd:", O142)), "Arkansas",ISNUMBER(SEARCH("V-Maumelle:", O142)), "Arkansas",ISNUMBER(SEARCH("V-Atlanta:", O142)), "Texas",ISNUMBER(SEARCH("VBlanchard:", O142)), "Louisiana",ISNUMBER(SEARCH("V-Bryant:", O142)), "Arkansas",ISNUMBER(SEARCH("V-Choctaw:", O142)), "Oklahoma",ISNUMBER(SEARCH("V-DeQueen:", O142)), "Arkansas",ISNUMBER(SEARCH("V-Longview:", O142)), "Texas",ISNUMBER(SEARCH("V-Marshall:", O142)), "Texas",ISNUMBER(SEARCH("V-MWC:", O142)), "Oklahoma",ISNUMBER(SEARCH("V-Moore:", O142)), "Oklahoma",ISNUMBER(SEARCH("V-MP:", O142)), "Texas",ISNUMBER(SEARCH("V-Edmond:", O142)), "Oklahoma",ISNUMBER(SEARCH("V-Paris:", O142)), "Texas",ISNUMBER(SEARCH("V-RR:", O142)), "Texas",ISNUMBER(SEARCH("V-Sherwood:", O142)), "Arkansas",ISNUMBER(SEARCH("V-WV:", O142)), "Texas",ISNUMBER(SEARCH("HealthCARE Express - Richmond Road", O142)), "Texas",ISNUMBER(SEARCH("HealthCARE Express - Occupational Medicine", O142)), "Texas")</f>
        <v>Arkansas</v>
      </c>
      <c r="Q142" t="s">
        <v>841</v>
      </c>
      <c r="R142" t="s">
        <v>868</v>
      </c>
      <c r="S142" t="s">
        <v>554</v>
      </c>
      <c r="T142" t="s">
        <v>842</v>
      </c>
      <c r="AF142" t="str" cm="1">
        <f t="array" ref="AF142">IF(SUMPRODUCT(--ISNUMBER(SEARCH("992",T142:AE142)))&gt;0, "E&amp;M", "No E&amp;M")</f>
        <v>E&amp;M</v>
      </c>
      <c r="AG142" t="str">
        <f t="shared" si="11"/>
        <v>99213</v>
      </c>
      <c r="AH142" t="str">
        <f t="shared" si="12"/>
        <v>Estd. Patient</v>
      </c>
      <c r="AI142" t="str">
        <f t="shared" si="10"/>
        <v>Little Rock Region</v>
      </c>
    </row>
    <row r="143" spans="1:35" x14ac:dyDescent="0.3">
      <c r="A143" t="s">
        <v>817</v>
      </c>
      <c r="B143" t="s">
        <v>357</v>
      </c>
      <c r="C143" t="s">
        <v>358</v>
      </c>
      <c r="D143" t="s">
        <v>818</v>
      </c>
      <c r="E143" t="s">
        <v>124</v>
      </c>
      <c r="F143" t="s">
        <v>19</v>
      </c>
      <c r="G143" t="s">
        <v>411</v>
      </c>
      <c r="H143" t="s">
        <v>213</v>
      </c>
      <c r="I143" t="s">
        <v>22</v>
      </c>
      <c r="J143" t="s">
        <v>22</v>
      </c>
      <c r="K143" t="s">
        <v>756</v>
      </c>
      <c r="L143" t="s">
        <v>819</v>
      </c>
      <c r="M143" t="s">
        <v>363</v>
      </c>
      <c r="N143" t="s">
        <v>820</v>
      </c>
      <c r="O143" t="s">
        <v>883</v>
      </c>
      <c r="P143" t="str" cm="1">
        <f t="array" ref="P143">_xlfn.IFS(ISNUMBER(SEARCH("AEIC:", O143)), "Arkansas",ISNUMBER(SEARCH("STM:", O143)), "Texas",ISNUMBER(SEARCH("BILLING:", O143)), "Texas",ISNUMBER(SEARCH("AM:", O143)), "Texas",ISNUMBER(SEARCH("ARBlvd:", O143)), "Arkansas",ISNUMBER(SEARCH("Atlanta:", O143)), "Texas",ISNUMBER(SEARCH("Blanchard:", O143)), "Louisiana",ISNUMBER(SEARCH("Bryant:", O143)), "Arkansas",ISNUMBER(SEARCH("Choctaw:", O143)), "Oklahoma",ISNUMBER(SEARCH("Choc Allgy:", O143)), "Oklahoma",ISNUMBER(SEARCH("DeQueen:", O143)), "Arkansas",ISNUMBER(SEARCH("Edmond:", O143)), "Oklahoma",ISNUMBER(SEARCH("Edmd Aller:", O143)), "Oklahoma",ISNUMBER(SEARCH("Imaging:", O143)), "Texas",ISNUMBER(SEARCH("Longview:", O143)), "Texas",ISNUMBER(SEARCH("Marshall:", O143)), "Texas",ISNUMBER(SEARCH("Mar Allerg:", O143)), "Texas",ISNUMBER(SEARCH("Maumelle:", O143)), "Arkansas",ISNUMBER(SEARCH("MWC:", O143)), "Oklahoma",ISNUMBER(SEARCH("MWC Allgy:", O143)), "Oklahoma",ISNUMBER(SEARCH("Moore:", O143)), "Oklahoma",ISNUMBER(SEARCH("MooreAllgy:", O143)), "Oklahoma",ISNUMBER(SEARCH("MtPleasant:", O143)), "Texas",ISNUMBER(SEARCH("OccOffsite:", O143)), "Texas",ISNUMBER(SEARCH("Pain Mgmt:", O143)), "Texas",ISNUMBER(SEARCH("Paris:", O143)), "Texas",ISNUMBER(SEARCH("PT:", O143)), "Texas",ISNUMBER(SEARCH("RR Allergy:", O143)), "Texas",ISNUMBER(SEARCH("Sherwood:", O143)), "Arkansas",ISNUMBER(SEARCH("WV:", O143)), "Texas",ISNUMBER(SEARCH("Nur-Home:", O143)), "Texas",ISNUMBER(SEARCH("THC:", O143)), "Texas",ISNUMBER(SEARCH("WVTC:", O143)), "Texas",ISNUMBER(SEARCH("TSC:", O143)), "Texas",ISNUMBER(SEARCH("V-AR Blvd:", O143)), "Arkansas",ISNUMBER(SEARCH("V-Maumelle:", O143)), "Arkansas",ISNUMBER(SEARCH("V-Atlanta:", O143)), "Texas",ISNUMBER(SEARCH("VBlanchard:", O143)), "Louisiana",ISNUMBER(SEARCH("V-Bryant:", O143)), "Arkansas",ISNUMBER(SEARCH("V-Choctaw:", O143)), "Oklahoma",ISNUMBER(SEARCH("V-DeQueen:", O143)), "Arkansas",ISNUMBER(SEARCH("V-Longview:", O143)), "Texas",ISNUMBER(SEARCH("V-Marshall:", O143)), "Texas",ISNUMBER(SEARCH("V-MWC:", O143)), "Oklahoma",ISNUMBER(SEARCH("V-Moore:", O143)), "Oklahoma",ISNUMBER(SEARCH("V-MP:", O143)), "Texas",ISNUMBER(SEARCH("V-Edmond:", O143)), "Oklahoma",ISNUMBER(SEARCH("V-Paris:", O143)), "Texas",ISNUMBER(SEARCH("V-RR:", O143)), "Texas",ISNUMBER(SEARCH("V-Sherwood:", O143)), "Arkansas",ISNUMBER(SEARCH("V-WV:", O143)), "Texas",ISNUMBER(SEARCH("HealthCARE Express - Richmond Road", O143)), "Texas",ISNUMBER(SEARCH("HealthCARE Express - Occupational Medicine", O143)), "Texas")</f>
        <v>Arkansas</v>
      </c>
      <c r="Q143" t="s">
        <v>841</v>
      </c>
      <c r="R143" t="s">
        <v>847</v>
      </c>
      <c r="S143" t="s">
        <v>124</v>
      </c>
      <c r="T143" t="s">
        <v>848</v>
      </c>
      <c r="U143" t="s">
        <v>880</v>
      </c>
      <c r="AF143" t="str" cm="1">
        <f t="array" ref="AF143">IF(SUMPRODUCT(--ISNUMBER(SEARCH("992",T143:AE143)))&gt;0, "E&amp;M", "No E&amp;M")</f>
        <v>E&amp;M</v>
      </c>
      <c r="AG143" t="str">
        <f t="shared" si="11"/>
        <v>99214</v>
      </c>
      <c r="AH143" t="str">
        <f t="shared" si="12"/>
        <v>Estd. Patient</v>
      </c>
      <c r="AI143" t="str">
        <f t="shared" si="10"/>
        <v>Little Rock Region</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ModifiedSheet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Bharath Kumar</cp:lastModifiedBy>
  <dcterms:created xsi:type="dcterms:W3CDTF">2025-03-18T10:23:15Z</dcterms:created>
  <dcterms:modified xsi:type="dcterms:W3CDTF">2025-03-18T11:06:52Z</dcterms:modified>
</cp:coreProperties>
</file>